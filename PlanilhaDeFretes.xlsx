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\Desktop\"/>
    </mc:Choice>
  </mc:AlternateContent>
  <xr:revisionPtr revIDLastSave="0" documentId="8_{3C998DF6-67B3-42E5-BBFB-4D2D37509DE9}" xr6:coauthVersionLast="47" xr6:coauthVersionMax="47" xr10:uidLastSave="{00000000-0000-0000-0000-000000000000}"/>
  <bookViews>
    <workbookView xWindow="-108" yWindow="-108" windowWidth="23256" windowHeight="12456" xr2:uid="{8AE04E44-7E97-409E-BF74-5BE072D3F652}"/>
  </bookViews>
  <sheets>
    <sheet name="Fretes" sheetId="2" r:id="rId1"/>
  </sheets>
  <definedNames>
    <definedName name="DadosExternos_1" localSheetId="0" hidden="1">Fretes!$A$1:$H$582</definedName>
    <definedName name="_xlnm.Print_Titles" localSheetId="0">Fretes!$1:$1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 a="1"/>
  <c r="G2" i="2" s="1"/>
  <c r="G3" i="2" a="1"/>
  <c r="G3" i="2"/>
  <c r="G4" i="2" a="1"/>
  <c r="G4" i="2"/>
  <c r="G5" i="2" a="1"/>
  <c r="G5" i="2"/>
  <c r="G6" i="2" a="1"/>
  <c r="G6" i="2"/>
  <c r="G7" i="2" a="1"/>
  <c r="G7" i="2"/>
  <c r="G8" i="2" a="1"/>
  <c r="G8" i="2" s="1"/>
  <c r="G9" i="2" a="1"/>
  <c r="G9" i="2"/>
  <c r="G10" i="2" a="1"/>
  <c r="G10" i="2"/>
  <c r="G11" i="2" a="1"/>
  <c r="G11" i="2"/>
  <c r="G12" i="2" a="1"/>
  <c r="G12" i="2"/>
  <c r="G13" i="2" a="1"/>
  <c r="G13" i="2"/>
  <c r="G14" i="2" a="1"/>
  <c r="G14" i="2" s="1"/>
  <c r="G15" i="2" a="1"/>
  <c r="G15" i="2" s="1"/>
  <c r="G16" i="2" a="1"/>
  <c r="G16" i="2"/>
  <c r="G17" i="2" a="1"/>
  <c r="G17" i="2"/>
  <c r="G18" i="2" a="1"/>
  <c r="G18" i="2"/>
  <c r="G19" i="2" a="1"/>
  <c r="G19" i="2"/>
  <c r="G20" i="2" a="1"/>
  <c r="G20" i="2" s="1"/>
  <c r="G21" i="2" a="1"/>
  <c r="G21" i="2"/>
  <c r="G22" i="2" a="1"/>
  <c r="G22" i="2"/>
  <c r="G23" i="2" a="1"/>
  <c r="G23" i="2"/>
  <c r="G24" i="2" a="1"/>
  <c r="G24" i="2"/>
  <c r="G25" i="2" a="1"/>
  <c r="G25" i="2"/>
  <c r="G26" i="2" a="1"/>
  <c r="G26" i="2" s="1"/>
  <c r="G27" i="2" a="1"/>
  <c r="G27" i="2"/>
  <c r="G28" i="2" a="1"/>
  <c r="G28" i="2" s="1"/>
  <c r="G29" i="2" a="1"/>
  <c r="G29" i="2"/>
  <c r="G30" i="2" a="1"/>
  <c r="G30" i="2"/>
  <c r="G31" i="2" a="1"/>
  <c r="G31" i="2"/>
  <c r="G32" i="2" a="1"/>
  <c r="G32" i="2" s="1"/>
  <c r="G33" i="2" a="1"/>
  <c r="G33" i="2"/>
  <c r="G34" i="2" a="1"/>
  <c r="G34" i="2"/>
  <c r="G35" i="2" a="1"/>
  <c r="G35" i="2"/>
  <c r="G36" i="2" a="1"/>
  <c r="G36" i="2"/>
  <c r="G37" i="2" a="1"/>
  <c r="G37" i="2"/>
  <c r="G38" i="2" a="1"/>
  <c r="G38" i="2" s="1"/>
  <c r="G39" i="2" a="1"/>
  <c r="G39" i="2"/>
  <c r="G40" i="2" a="1"/>
  <c r="G40" i="2"/>
  <c r="G41" i="2" a="1"/>
  <c r="G41" i="2" s="1"/>
  <c r="G42" i="2" a="1"/>
  <c r="G42" i="2"/>
  <c r="G43" i="2" a="1"/>
  <c r="G43" i="2"/>
  <c r="G44" i="2" a="1"/>
  <c r="G44" i="2" s="1"/>
  <c r="G45" i="2" a="1"/>
  <c r="G45" i="2"/>
  <c r="G46" i="2" a="1"/>
  <c r="G46" i="2"/>
  <c r="G47" i="2" a="1"/>
  <c r="G47" i="2"/>
  <c r="G48" i="2" a="1"/>
  <c r="G48" i="2"/>
  <c r="G49" i="2" a="1"/>
  <c r="G49" i="2"/>
  <c r="G50" i="2" a="1"/>
  <c r="G50" i="2" s="1"/>
  <c r="G51" i="2" a="1"/>
  <c r="G51" i="2"/>
  <c r="G52" i="2" a="1"/>
  <c r="G52" i="2"/>
  <c r="G53" i="2" a="1"/>
  <c r="G53" i="2"/>
  <c r="G54" i="2" a="1"/>
  <c r="G54" i="2" s="1"/>
  <c r="G55" i="2" a="1"/>
  <c r="G55" i="2"/>
  <c r="G56" i="2" a="1"/>
  <c r="G56" i="2" s="1"/>
  <c r="G57" i="2" a="1"/>
  <c r="G57" i="2"/>
  <c r="G58" i="2" a="1"/>
  <c r="G58" i="2"/>
  <c r="G59" i="2" a="1"/>
  <c r="G59" i="2"/>
  <c r="G60" i="2" a="1"/>
  <c r="G60" i="2"/>
  <c r="G61" i="2" a="1"/>
  <c r="G61" i="2"/>
  <c r="G62" i="2" a="1"/>
  <c r="G62" i="2" s="1"/>
  <c r="G63" i="2" a="1"/>
  <c r="G63" i="2"/>
  <c r="G64" i="2" a="1"/>
  <c r="G64" i="2"/>
  <c r="G65" i="2" a="1"/>
  <c r="G65" i="2"/>
  <c r="G66" i="2" a="1"/>
  <c r="G66" i="2"/>
  <c r="G67" i="2" a="1"/>
  <c r="G67" i="2" s="1"/>
  <c r="G68" i="2" a="1"/>
  <c r="G68" i="2" s="1"/>
  <c r="G69" i="2" a="1"/>
  <c r="G69" i="2"/>
  <c r="G70" i="2" a="1"/>
  <c r="G70" i="2"/>
  <c r="G71" i="2" a="1"/>
  <c r="G71" i="2"/>
  <c r="G72" i="2" a="1"/>
  <c r="G72" i="2"/>
  <c r="G73" i="2" a="1"/>
  <c r="G73" i="2"/>
  <c r="G74" i="2" a="1"/>
  <c r="G74" i="2" s="1"/>
  <c r="G75" i="2" a="1"/>
  <c r="G75" i="2"/>
  <c r="G76" i="2" a="1"/>
  <c r="G76" i="2"/>
  <c r="G77" i="2" a="1"/>
  <c r="G77" i="2"/>
  <c r="G78" i="2" a="1"/>
  <c r="G78" i="2"/>
  <c r="G79" i="2" a="1"/>
  <c r="G79" i="2"/>
  <c r="G80" i="2" a="1"/>
  <c r="G80" i="2" s="1"/>
  <c r="G81" i="2" a="1"/>
  <c r="G81" i="2"/>
  <c r="G82" i="2" a="1"/>
  <c r="G82" i="2"/>
  <c r="G83" i="2" a="1"/>
  <c r="G83" i="2"/>
  <c r="G84" i="2" a="1"/>
  <c r="G84" i="2"/>
  <c r="G85" i="2" a="1"/>
  <c r="G85" i="2"/>
  <c r="G86" i="2" a="1"/>
  <c r="G86" i="2" s="1"/>
  <c r="G87" i="2" a="1"/>
  <c r="G87" i="2" s="1"/>
  <c r="G88" i="2" a="1"/>
  <c r="G88" i="2"/>
  <c r="G89" i="2" a="1"/>
  <c r="G89" i="2"/>
  <c r="G90" i="2" a="1"/>
  <c r="G90" i="2"/>
  <c r="G91" i="2" a="1"/>
  <c r="G91" i="2"/>
  <c r="G92" i="2" a="1"/>
  <c r="G92" i="2" s="1"/>
  <c r="G93" i="2" a="1"/>
  <c r="G93" i="2"/>
  <c r="G94" i="2" a="1"/>
  <c r="G94" i="2"/>
  <c r="G95" i="2" a="1"/>
  <c r="G95" i="2"/>
  <c r="G96" i="2" a="1"/>
  <c r="G96" i="2"/>
  <c r="G97" i="2" a="1"/>
  <c r="G97" i="2"/>
  <c r="G98" i="2" a="1"/>
  <c r="G98" i="2" s="1"/>
  <c r="G99" i="2" a="1"/>
  <c r="G99" i="2"/>
  <c r="G100" i="2" a="1"/>
  <c r="G100" i="2" s="1"/>
  <c r="G101" i="2" a="1"/>
  <c r="G101" i="2"/>
  <c r="G102" i="2" a="1"/>
  <c r="G102" i="2"/>
  <c r="G103" i="2" a="1"/>
  <c r="G103" i="2"/>
  <c r="G104" i="2" a="1"/>
  <c r="G104" i="2" s="1"/>
  <c r="G105" i="2" a="1"/>
  <c r="G105" i="2"/>
  <c r="G106" i="2" a="1"/>
  <c r="G106" i="2"/>
  <c r="G107" i="2" a="1"/>
  <c r="G107" i="2"/>
  <c r="G108" i="2" a="1"/>
  <c r="G108" i="2"/>
  <c r="G109" i="2" a="1"/>
  <c r="G109" i="2"/>
  <c r="G110" i="2" a="1"/>
  <c r="G110" i="2" s="1"/>
  <c r="G111" i="2" a="1"/>
  <c r="G111" i="2"/>
  <c r="G112" i="2" a="1"/>
  <c r="G112" i="2"/>
  <c r="G113" i="2" a="1"/>
  <c r="G113" i="2" s="1"/>
  <c r="G114" i="2" a="1"/>
  <c r="G114" i="2"/>
  <c r="G115" i="2" a="1"/>
  <c r="G115" i="2"/>
  <c r="G116" i="2" a="1"/>
  <c r="G116" i="2" s="1"/>
  <c r="G117" i="2" a="1"/>
  <c r="G117" i="2"/>
  <c r="G118" i="2" a="1"/>
  <c r="G118" i="2"/>
  <c r="G119" i="2" a="1"/>
  <c r="G119" i="2"/>
  <c r="G120" i="2" a="1"/>
  <c r="G120" i="2"/>
  <c r="G121" i="2" a="1"/>
  <c r="G121" i="2"/>
  <c r="G122" i="2" a="1"/>
  <c r="G122" i="2" s="1"/>
  <c r="G123" i="2" a="1"/>
  <c r="G123" i="2"/>
  <c r="G124" i="2" a="1"/>
  <c r="G124" i="2"/>
  <c r="G125" i="2" a="1"/>
  <c r="G125" i="2"/>
  <c r="G126" i="2" a="1"/>
  <c r="G126" i="2" s="1"/>
  <c r="G127" i="2" a="1"/>
  <c r="G127" i="2"/>
  <c r="G128" i="2" a="1"/>
  <c r="G128" i="2" s="1"/>
  <c r="G129" i="2" a="1"/>
  <c r="G129" i="2"/>
  <c r="G130" i="2" a="1"/>
  <c r="G130" i="2"/>
  <c r="G131" i="2" a="1"/>
  <c r="G131" i="2"/>
  <c r="G132" i="2" a="1"/>
  <c r="G132" i="2"/>
  <c r="G133" i="2" a="1"/>
  <c r="G133" i="2"/>
  <c r="G134" i="2" a="1"/>
  <c r="G134" i="2" s="1"/>
  <c r="G135" i="2" a="1"/>
  <c r="G135" i="2"/>
  <c r="G136" i="2" a="1"/>
  <c r="G136" i="2"/>
  <c r="G137" i="2" a="1"/>
  <c r="G137" i="2"/>
  <c r="G138" i="2" a="1"/>
  <c r="G138" i="2"/>
  <c r="G139" i="2" a="1"/>
  <c r="G139" i="2" s="1"/>
  <c r="G140" i="2" a="1"/>
  <c r="G140" i="2" s="1"/>
  <c r="G141" i="2" a="1"/>
  <c r="G141" i="2"/>
  <c r="G142" i="2" a="1"/>
  <c r="G142" i="2"/>
  <c r="G143" i="2" a="1"/>
  <c r="G143" i="2"/>
  <c r="G144" i="2" a="1"/>
  <c r="G144" i="2"/>
  <c r="G145" i="2" a="1"/>
  <c r="G145" i="2"/>
  <c r="G146" i="2" a="1"/>
  <c r="G146" i="2" s="1"/>
  <c r="G147" i="2" a="1"/>
  <c r="G147" i="2"/>
  <c r="G148" i="2" a="1"/>
  <c r="G148" i="2"/>
  <c r="G149" i="2" a="1"/>
  <c r="G149" i="2"/>
  <c r="G150" i="2" a="1"/>
  <c r="G150" i="2"/>
  <c r="G151" i="2" a="1"/>
  <c r="G151" i="2"/>
  <c r="G152" i="2" a="1"/>
  <c r="G152" i="2" s="1"/>
  <c r="G153" i="2" a="1"/>
  <c r="G153" i="2"/>
  <c r="G154" i="2" a="1"/>
  <c r="G154" i="2"/>
  <c r="G155" i="2" a="1"/>
  <c r="G155" i="2"/>
  <c r="G156" i="2" a="1"/>
  <c r="G156" i="2"/>
  <c r="G157" i="2" a="1"/>
  <c r="G157" i="2"/>
  <c r="G158" i="2" a="1"/>
  <c r="G158" i="2" s="1"/>
  <c r="G159" i="2" a="1"/>
  <c r="G159" i="2" s="1"/>
  <c r="G160" i="2" a="1"/>
  <c r="G160" i="2"/>
  <c r="G161" i="2" a="1"/>
  <c r="G161" i="2"/>
  <c r="G162" i="2" a="1"/>
  <c r="G162" i="2"/>
  <c r="G163" i="2" a="1"/>
  <c r="G163" i="2"/>
  <c r="G164" i="2" a="1"/>
  <c r="G164" i="2" s="1"/>
  <c r="G165" i="2" a="1"/>
  <c r="G165" i="2"/>
  <c r="G166" i="2" a="1"/>
  <c r="G166" i="2"/>
  <c r="G167" i="2" a="1"/>
  <c r="G167" i="2"/>
  <c r="G168" i="2" a="1"/>
  <c r="G168" i="2"/>
  <c r="G169" i="2" a="1"/>
  <c r="G169" i="2"/>
  <c r="G170" i="2" a="1"/>
  <c r="G170" i="2" s="1"/>
  <c r="G171" i="2" a="1"/>
  <c r="G171" i="2"/>
  <c r="G172" i="2" a="1"/>
  <c r="G172" i="2" s="1"/>
  <c r="G173" i="2" a="1"/>
  <c r="G173" i="2"/>
  <c r="G174" i="2" a="1"/>
  <c r="G174" i="2"/>
  <c r="G175" i="2" a="1"/>
  <c r="G175" i="2"/>
  <c r="G176" i="2" a="1"/>
  <c r="G176" i="2" s="1"/>
  <c r="G177" i="2" a="1"/>
  <c r="G177" i="2"/>
  <c r="G178" i="2" a="1"/>
  <c r="G178" i="2"/>
  <c r="G179" i="2" a="1"/>
  <c r="G179" i="2"/>
  <c r="G180" i="2" a="1"/>
  <c r="G180" i="2"/>
  <c r="G181" i="2" a="1"/>
  <c r="G181" i="2"/>
  <c r="G182" i="2" a="1"/>
  <c r="G182" i="2" s="1"/>
  <c r="G183" i="2" a="1"/>
  <c r="G183" i="2"/>
  <c r="G184" i="2" a="1"/>
  <c r="G184" i="2"/>
  <c r="G185" i="2" a="1"/>
  <c r="G185" i="2" s="1"/>
  <c r="G186" i="2" a="1"/>
  <c r="G186" i="2"/>
  <c r="G187" i="2" a="1"/>
  <c r="G187" i="2"/>
  <c r="G188" i="2" a="1"/>
  <c r="G188" i="2" s="1"/>
  <c r="G189" i="2" a="1"/>
  <c r="G189" i="2"/>
  <c r="G190" i="2" a="1"/>
  <c r="G190" i="2"/>
  <c r="G191" i="2" a="1"/>
  <c r="G191" i="2"/>
  <c r="G192" i="2" a="1"/>
  <c r="G192" i="2"/>
  <c r="G193" i="2" a="1"/>
  <c r="G193" i="2"/>
  <c r="G194" i="2" a="1"/>
  <c r="G194" i="2" s="1"/>
  <c r="G195" i="2" a="1"/>
  <c r="G195" i="2"/>
  <c r="G196" i="2" a="1"/>
  <c r="G196" i="2"/>
  <c r="G197" i="2" a="1"/>
  <c r="G197" i="2"/>
  <c r="G198" i="2" a="1"/>
  <c r="G198" i="2" s="1"/>
  <c r="G199" i="2" a="1"/>
  <c r="G199" i="2"/>
  <c r="G200" i="2" a="1"/>
  <c r="G200" i="2" s="1"/>
  <c r="G201" i="2" a="1"/>
  <c r="G201" i="2"/>
  <c r="G202" i="2" a="1"/>
  <c r="G202" i="2"/>
  <c r="G203" i="2" a="1"/>
  <c r="G203" i="2"/>
  <c r="G204" i="2" a="1"/>
  <c r="G204" i="2"/>
  <c r="G205" i="2" a="1"/>
  <c r="G205" i="2"/>
  <c r="G206" i="2" a="1"/>
  <c r="G206" i="2" s="1"/>
  <c r="G207" i="2" a="1"/>
  <c r="G207" i="2"/>
  <c r="G208" i="2" a="1"/>
  <c r="G208" i="2"/>
  <c r="G209" i="2" a="1"/>
  <c r="G209" i="2"/>
  <c r="G210" i="2" a="1"/>
  <c r="G210" i="2"/>
  <c r="G211" i="2" a="1"/>
  <c r="G211" i="2" s="1"/>
  <c r="G212" i="2" a="1"/>
  <c r="G212" i="2" s="1"/>
  <c r="G213" i="2" a="1"/>
  <c r="G213" i="2"/>
  <c r="G214" i="2" a="1"/>
  <c r="G214" i="2"/>
  <c r="G215" i="2" a="1"/>
  <c r="G215" i="2"/>
  <c r="G216" i="2" a="1"/>
  <c r="G216" i="2"/>
  <c r="G217" i="2" a="1"/>
  <c r="G217" i="2"/>
  <c r="G218" i="2" a="1"/>
  <c r="G218" i="2" s="1"/>
  <c r="G219" i="2" a="1"/>
  <c r="G219" i="2"/>
  <c r="G220" i="2" a="1"/>
  <c r="G220" i="2"/>
  <c r="G221" i="2" a="1"/>
  <c r="G221" i="2"/>
  <c r="G222" i="2" a="1"/>
  <c r="G222" i="2"/>
  <c r="G223" i="2" a="1"/>
  <c r="G223" i="2"/>
  <c r="G224" i="2" a="1"/>
  <c r="G224" i="2" s="1"/>
  <c r="G225" i="2" a="1"/>
  <c r="G225" i="2" s="1"/>
  <c r="G226" i="2" a="1"/>
  <c r="G226" i="2"/>
  <c r="G227" i="2" a="1"/>
  <c r="G227" i="2"/>
  <c r="G228" i="2" a="1"/>
  <c r="G228" i="2"/>
  <c r="G229" i="2" a="1"/>
  <c r="G229" i="2"/>
  <c r="G230" i="2" a="1"/>
  <c r="G230" i="2" s="1"/>
  <c r="G231" i="2" a="1"/>
  <c r="G231" i="2" s="1"/>
  <c r="G232" i="2" a="1"/>
  <c r="G232" i="2"/>
  <c r="G233" i="2" a="1"/>
  <c r="G233" i="2"/>
  <c r="G234" i="2" a="1"/>
  <c r="G234" i="2"/>
  <c r="G235" i="2" a="1"/>
  <c r="G235" i="2"/>
  <c r="G236" i="2" a="1"/>
  <c r="G236" i="2" s="1"/>
  <c r="G237" i="2" a="1"/>
  <c r="G237" i="2"/>
  <c r="G238" i="2" a="1"/>
  <c r="G238" i="2" s="1"/>
  <c r="G239" i="2" a="1"/>
  <c r="G239" i="2"/>
  <c r="G240" i="2" a="1"/>
  <c r="G240" i="2"/>
  <c r="G241" i="2" a="1"/>
  <c r="G241" i="2"/>
  <c r="G242" i="2" a="1"/>
  <c r="G242" i="2" s="1"/>
  <c r="G243" i="2" a="1"/>
  <c r="G243" i="2"/>
  <c r="G244" i="2" a="1"/>
  <c r="G244" i="2" s="1"/>
  <c r="G245" i="2" a="1"/>
  <c r="G245" i="2"/>
  <c r="G246" i="2" a="1"/>
  <c r="G246" i="2"/>
  <c r="G247" i="2" a="1"/>
  <c r="G247" i="2"/>
  <c r="G248" i="2" a="1"/>
  <c r="G248" i="2" s="1"/>
  <c r="G249" i="2" a="1"/>
  <c r="G249" i="2"/>
  <c r="G250" i="2" a="1"/>
  <c r="G250" i="2"/>
  <c r="G251" i="2" a="1"/>
  <c r="G251" i="2" s="1"/>
  <c r="G252" i="2" a="1"/>
  <c r="G252" i="2"/>
  <c r="G253" i="2" a="1"/>
  <c r="G253" i="2"/>
  <c r="G254" i="2" a="1"/>
  <c r="G254" i="2" s="1"/>
  <c r="G255" i="2" a="1"/>
  <c r="G255" i="2"/>
  <c r="G256" i="2" a="1"/>
  <c r="G256" i="2"/>
  <c r="G257" i="2" a="1"/>
  <c r="G257" i="2" s="1"/>
  <c r="G258" i="2" a="1"/>
  <c r="G258" i="2"/>
  <c r="G259" i="2" a="1"/>
  <c r="G259" i="2"/>
  <c r="G260" i="2" a="1"/>
  <c r="G260" i="2" s="1"/>
  <c r="G261" i="2" a="1"/>
  <c r="G261" i="2"/>
  <c r="G262" i="2" a="1"/>
  <c r="G262" i="2"/>
  <c r="G263" i="2" a="1"/>
  <c r="G263" i="2"/>
  <c r="G264" i="2" a="1"/>
  <c r="G264" i="2" s="1"/>
  <c r="G265" i="2" a="1"/>
  <c r="G265" i="2"/>
  <c r="G266" i="2" a="1"/>
  <c r="G266" i="2" s="1"/>
  <c r="G267" i="2" a="1"/>
  <c r="G267" i="2"/>
  <c r="G268" i="2" a="1"/>
  <c r="G268" i="2"/>
  <c r="G269" i="2" a="1"/>
  <c r="G269" i="2"/>
  <c r="G270" i="2" a="1"/>
  <c r="G270" i="2" s="1"/>
  <c r="G271" i="2" a="1"/>
  <c r="G271" i="2"/>
  <c r="G272" i="2" a="1"/>
  <c r="G272" i="2" s="1"/>
  <c r="G273" i="2" a="1"/>
  <c r="G273" i="2"/>
  <c r="G274" i="2" a="1"/>
  <c r="G274" i="2"/>
  <c r="G275" i="2" a="1"/>
  <c r="G275" i="2"/>
  <c r="G276" i="2" a="1"/>
  <c r="G276" i="2"/>
  <c r="G277" i="2" a="1"/>
  <c r="G277" i="2" s="1"/>
  <c r="G278" i="2" a="1"/>
  <c r="G278" i="2" s="1"/>
  <c r="G279" i="2" a="1"/>
  <c r="G279" i="2"/>
  <c r="G280" i="2" a="1"/>
  <c r="G280" i="2"/>
  <c r="G281" i="2" a="1"/>
  <c r="G281" i="2"/>
  <c r="G282" i="2" a="1"/>
  <c r="G282" i="2"/>
  <c r="G283" i="2" a="1"/>
  <c r="G283" i="2" s="1"/>
  <c r="G284" i="2" a="1"/>
  <c r="G284" i="2" s="1"/>
  <c r="G285" i="2" a="1"/>
  <c r="G285" i="2"/>
  <c r="G286" i="2" a="1"/>
  <c r="G286" i="2"/>
  <c r="G287" i="2" a="1"/>
  <c r="G287" i="2"/>
  <c r="G288" i="2" a="1"/>
  <c r="G288" i="2"/>
  <c r="G289" i="2" a="1"/>
  <c r="G289" i="2"/>
  <c r="G290" i="2" a="1"/>
  <c r="G290" i="2" s="1"/>
  <c r="G291" i="2" a="1"/>
  <c r="G291" i="2"/>
  <c r="G292" i="2" a="1"/>
  <c r="G292" i="2"/>
  <c r="G293" i="2" a="1"/>
  <c r="G293" i="2"/>
  <c r="G294" i="2" a="1"/>
  <c r="G294" i="2"/>
  <c r="G295" i="2" a="1"/>
  <c r="G295" i="2"/>
  <c r="G296" i="2" a="1"/>
  <c r="G296" i="2" s="1"/>
  <c r="G297" i="2" a="1"/>
  <c r="G297" i="2" s="1"/>
  <c r="G298" i="2" a="1"/>
  <c r="G298" i="2"/>
  <c r="G299" i="2" a="1"/>
  <c r="G299" i="2"/>
  <c r="G300" i="2" a="1"/>
  <c r="G300" i="2"/>
  <c r="G301" i="2" a="1"/>
  <c r="G301" i="2"/>
  <c r="G302" i="2" a="1"/>
  <c r="G302" i="2" s="1"/>
  <c r="G303" i="2" a="1"/>
  <c r="G303" i="2" s="1"/>
  <c r="G304" i="2" a="1"/>
  <c r="G304" i="2"/>
  <c r="G305" i="2" a="1"/>
  <c r="G305" i="2"/>
  <c r="G306" i="2" a="1"/>
  <c r="G306" i="2"/>
  <c r="G307" i="2" a="1"/>
  <c r="G307" i="2"/>
  <c r="G308" i="2" a="1"/>
  <c r="G308" i="2" s="1"/>
  <c r="G309" i="2" a="1"/>
  <c r="G309" i="2"/>
  <c r="G310" i="2" a="1"/>
  <c r="G310" i="2" s="1"/>
  <c r="G311" i="2" a="1"/>
  <c r="G311" i="2"/>
  <c r="G312" i="2" a="1"/>
  <c r="G312" i="2"/>
  <c r="G313" i="2" a="1"/>
  <c r="G313" i="2"/>
  <c r="G314" i="2" a="1"/>
  <c r="G314" i="2" s="1"/>
  <c r="G315" i="2" a="1"/>
  <c r="G315" i="2"/>
  <c r="G316" i="2" a="1"/>
  <c r="G316" i="2" s="1"/>
  <c r="G317" i="2" a="1"/>
  <c r="G317" i="2"/>
  <c r="G318" i="2" a="1"/>
  <c r="G318" i="2"/>
  <c r="G319" i="2" a="1"/>
  <c r="G319" i="2"/>
  <c r="G320" i="2" a="1"/>
  <c r="G320" i="2" s="1"/>
  <c r="G321" i="2" a="1"/>
  <c r="G321" i="2"/>
  <c r="G322" i="2" a="1"/>
  <c r="G322" i="2"/>
  <c r="G323" i="2" a="1"/>
  <c r="G323" i="2" s="1"/>
  <c r="G324" i="2" a="1"/>
  <c r="G324" i="2"/>
  <c r="G325" i="2" a="1"/>
  <c r="G325" i="2"/>
  <c r="G326" i="2" a="1"/>
  <c r="G326" i="2" s="1"/>
  <c r="G327" i="2" a="1"/>
  <c r="G327" i="2"/>
  <c r="G328" i="2" a="1"/>
  <c r="G328" i="2"/>
  <c r="G329" i="2" a="1"/>
  <c r="G329" i="2" s="1"/>
  <c r="G330" i="2" a="1"/>
  <c r="G330" i="2"/>
  <c r="G331" i="2" a="1"/>
  <c r="G331" i="2"/>
  <c r="G332" i="2" a="1"/>
  <c r="G332" i="2" s="1"/>
  <c r="G333" i="2" a="1"/>
  <c r="G333" i="2"/>
  <c r="G334" i="2" a="1"/>
  <c r="G334" i="2"/>
  <c r="G335" i="2" a="1"/>
  <c r="G335" i="2"/>
  <c r="G336" i="2" a="1"/>
  <c r="G336" i="2" s="1"/>
  <c r="G337" i="2" a="1"/>
  <c r="G337" i="2"/>
  <c r="G338" i="2" a="1"/>
  <c r="G338" i="2" s="1"/>
  <c r="G339" i="2" a="1"/>
  <c r="G339" i="2"/>
  <c r="G340" i="2" a="1"/>
  <c r="G340" i="2"/>
  <c r="G341" i="2" a="1"/>
  <c r="G341" i="2"/>
  <c r="G342" i="2" a="1"/>
  <c r="G342" i="2" s="1"/>
  <c r="G343" i="2" a="1"/>
  <c r="G343" i="2"/>
  <c r="G344" i="2" a="1"/>
  <c r="G344" i="2" s="1"/>
  <c r="G345" i="2" a="1"/>
  <c r="G345" i="2"/>
  <c r="G346" i="2" a="1"/>
  <c r="G346" i="2"/>
  <c r="G347" i="2" a="1"/>
  <c r="G347" i="2"/>
  <c r="G348" i="2" a="1"/>
  <c r="G348" i="2"/>
  <c r="G349" i="2" a="1"/>
  <c r="G349" i="2" s="1"/>
  <c r="G350" i="2" a="1"/>
  <c r="G350" i="2" s="1"/>
  <c r="G351" i="2" a="1"/>
  <c r="G351" i="2"/>
  <c r="G352" i="2" a="1"/>
  <c r="G352" i="2"/>
  <c r="G353" i="2" a="1"/>
  <c r="G353" i="2"/>
  <c r="G354" i="2" a="1"/>
  <c r="G354" i="2"/>
  <c r="G355" i="2" a="1"/>
  <c r="G355" i="2" s="1"/>
  <c r="G356" i="2" a="1"/>
  <c r="G356" i="2" s="1"/>
  <c r="G357" i="2" a="1"/>
  <c r="G357" i="2"/>
  <c r="G358" i="2" a="1"/>
  <c r="G358" i="2"/>
  <c r="G359" i="2" a="1"/>
  <c r="G359" i="2"/>
  <c r="G360" i="2" a="1"/>
  <c r="G360" i="2"/>
  <c r="G361" i="2" a="1"/>
  <c r="G361" i="2"/>
  <c r="G362" i="2" a="1"/>
  <c r="G362" i="2" s="1"/>
  <c r="G363" i="2" a="1"/>
  <c r="G363" i="2"/>
  <c r="G364" i="2" a="1"/>
  <c r="G364" i="2"/>
  <c r="G365" i="2" a="1"/>
  <c r="G365" i="2"/>
  <c r="G366" i="2" a="1"/>
  <c r="G366" i="2"/>
  <c r="G367" i="2" a="1"/>
  <c r="G367" i="2"/>
  <c r="G368" i="2" a="1"/>
  <c r="G368" i="2" s="1"/>
  <c r="G369" i="2" a="1"/>
  <c r="G369" i="2" s="1"/>
  <c r="G370" i="2" a="1"/>
  <c r="G370" i="2"/>
  <c r="G371" i="2" a="1"/>
  <c r="G371" i="2"/>
  <c r="G372" i="2" a="1"/>
  <c r="G372" i="2"/>
  <c r="G373" i="2" a="1"/>
  <c r="G373" i="2"/>
  <c r="G374" i="2" a="1"/>
  <c r="G374" i="2" s="1"/>
  <c r="G375" i="2" a="1"/>
  <c r="G375" i="2" s="1"/>
  <c r="G376" i="2" a="1"/>
  <c r="G376" i="2"/>
  <c r="G377" i="2" a="1"/>
  <c r="G377" i="2"/>
  <c r="G378" i="2" a="1"/>
  <c r="G378" i="2"/>
  <c r="G379" i="2" a="1"/>
  <c r="G379" i="2"/>
  <c r="G380" i="2" a="1"/>
  <c r="G380" i="2" s="1"/>
  <c r="G381" i="2" a="1"/>
  <c r="G381" i="2"/>
  <c r="G382" i="2" a="1"/>
  <c r="G382" i="2" s="1"/>
  <c r="G383" i="2" a="1"/>
  <c r="G383" i="2"/>
  <c r="G384" i="2" a="1"/>
  <c r="G384" i="2"/>
  <c r="G385" i="2" a="1"/>
  <c r="G385" i="2"/>
  <c r="G386" i="2" a="1"/>
  <c r="G386" i="2" s="1"/>
  <c r="G387" i="2" a="1"/>
  <c r="G387" i="2"/>
  <c r="G388" i="2" a="1"/>
  <c r="G388" i="2" s="1"/>
  <c r="G389" i="2" a="1"/>
  <c r="G389" i="2"/>
  <c r="G390" i="2" a="1"/>
  <c r="G390" i="2"/>
  <c r="G391" i="2" a="1"/>
  <c r="G391" i="2"/>
  <c r="G392" i="2" a="1"/>
  <c r="G392" i="2" s="1"/>
  <c r="G393" i="2" a="1"/>
  <c r="G393" i="2"/>
  <c r="G394" i="2" a="1"/>
  <c r="G394" i="2"/>
  <c r="G395" i="2" a="1"/>
  <c r="G395" i="2" s="1"/>
  <c r="G396" i="2" a="1"/>
  <c r="G396" i="2"/>
  <c r="G397" i="2" a="1"/>
  <c r="G397" i="2"/>
  <c r="G398" i="2" a="1"/>
  <c r="G398" i="2" s="1"/>
  <c r="G399" i="2" a="1"/>
  <c r="G399" i="2"/>
  <c r="G400" i="2" a="1"/>
  <c r="G400" i="2"/>
  <c r="G401" i="2" a="1"/>
  <c r="G401" i="2" s="1"/>
  <c r="G402" i="2" a="1"/>
  <c r="G402" i="2"/>
  <c r="G403" i="2" a="1"/>
  <c r="G403" i="2"/>
  <c r="G404" i="2" a="1"/>
  <c r="G404" i="2" s="1"/>
  <c r="G405" i="2" a="1"/>
  <c r="G405" i="2"/>
  <c r="G406" i="2" a="1"/>
  <c r="G406" i="2"/>
  <c r="G407" i="2" a="1"/>
  <c r="G407" i="2"/>
  <c r="G408" i="2" a="1"/>
  <c r="G408" i="2" s="1"/>
  <c r="G409" i="2" a="1"/>
  <c r="G409" i="2"/>
  <c r="G410" i="2" a="1"/>
  <c r="G410" i="2" s="1"/>
  <c r="G411" i="2" a="1"/>
  <c r="G411" i="2"/>
  <c r="G412" i="2" a="1"/>
  <c r="G412" i="2" s="1"/>
  <c r="G413" i="2" a="1"/>
  <c r="G413" i="2"/>
  <c r="G414" i="2" a="1"/>
  <c r="G414" i="2" s="1"/>
  <c r="G415" i="2" a="1"/>
  <c r="G415" i="2"/>
  <c r="G416" i="2" a="1"/>
  <c r="G416" i="2" s="1"/>
  <c r="G417" i="2" a="1"/>
  <c r="G417" i="2"/>
  <c r="G418" i="2" a="1"/>
  <c r="G418" i="2"/>
  <c r="G419" i="2" a="1"/>
  <c r="G419" i="2"/>
  <c r="G420" i="2" a="1"/>
  <c r="G420" i="2"/>
  <c r="G421" i="2" a="1"/>
  <c r="G421" i="2" s="1"/>
  <c r="G422" i="2" a="1"/>
  <c r="G422" i="2" s="1"/>
  <c r="G423" i="2" a="1"/>
  <c r="G423" i="2"/>
  <c r="G424" i="2" a="1"/>
  <c r="G424" i="2"/>
  <c r="G425" i="2" a="1"/>
  <c r="G425" i="2"/>
  <c r="G426" i="2" a="1"/>
  <c r="G426" i="2"/>
  <c r="G427" i="2" a="1"/>
  <c r="G427" i="2" s="1"/>
  <c r="G428" i="2" a="1"/>
  <c r="G428" i="2" s="1"/>
  <c r="G429" i="2" a="1"/>
  <c r="G429" i="2"/>
  <c r="G430" i="2" a="1"/>
  <c r="G430" i="2"/>
  <c r="G431" i="2" a="1"/>
  <c r="G431" i="2"/>
  <c r="G432" i="2" a="1"/>
  <c r="G432" i="2"/>
  <c r="G433" i="2" a="1"/>
  <c r="G433" i="2"/>
  <c r="G434" i="2" a="1"/>
  <c r="G434" i="2" s="1"/>
  <c r="G435" i="2" a="1"/>
  <c r="G435" i="2"/>
  <c r="G436" i="2" a="1"/>
  <c r="G436" i="2"/>
  <c r="G437" i="2" a="1"/>
  <c r="G437" i="2"/>
  <c r="G438" i="2" a="1"/>
  <c r="G438" i="2"/>
  <c r="G439" i="2" a="1"/>
  <c r="G439" i="2"/>
  <c r="G440" i="2" a="1"/>
  <c r="G440" i="2" s="1"/>
  <c r="G441" i="2" a="1"/>
  <c r="G441" i="2"/>
  <c r="G442" i="2" a="1"/>
  <c r="G442" i="2"/>
  <c r="G443" i="2" a="1"/>
  <c r="G443" i="2"/>
  <c r="G444" i="2" a="1"/>
  <c r="G444" i="2"/>
  <c r="G445" i="2" a="1"/>
  <c r="G445" i="2"/>
  <c r="G446" i="2" a="1"/>
  <c r="G446" i="2" s="1"/>
  <c r="G447" i="2" a="1"/>
  <c r="G447" i="2" s="1"/>
  <c r="G448" i="2" a="1"/>
  <c r="G448" i="2"/>
  <c r="G449" i="2" a="1"/>
  <c r="G449" i="2"/>
  <c r="G450" i="2" a="1"/>
  <c r="G450" i="2"/>
  <c r="G451" i="2" a="1"/>
  <c r="G451" i="2"/>
  <c r="G452" i="2" a="1"/>
  <c r="G452" i="2" s="1"/>
  <c r="G453" i="2" a="1"/>
  <c r="G453" i="2"/>
  <c r="G454" i="2" a="1"/>
  <c r="G454" i="2"/>
  <c r="G455" i="2" a="1"/>
  <c r="G455" i="2"/>
  <c r="G456" i="2" a="1"/>
  <c r="G456" i="2"/>
  <c r="G457" i="2" a="1"/>
  <c r="G457" i="2"/>
  <c r="G458" i="2" a="1"/>
  <c r="G458" i="2" s="1"/>
  <c r="G459" i="2" a="1"/>
  <c r="G459" i="2"/>
  <c r="G460" i="2" a="1"/>
  <c r="G460" i="2" s="1"/>
  <c r="G461" i="2" a="1"/>
  <c r="G461" i="2"/>
  <c r="G462" i="2" a="1"/>
  <c r="G462" i="2"/>
  <c r="G463" i="2" a="1"/>
  <c r="G463" i="2"/>
  <c r="G464" i="2" a="1"/>
  <c r="G464" i="2" s="1"/>
  <c r="G465" i="2" a="1"/>
  <c r="G465" i="2"/>
  <c r="G466" i="2" a="1"/>
  <c r="G466" i="2"/>
  <c r="G467" i="2" a="1"/>
  <c r="G467" i="2"/>
  <c r="G468" i="2" a="1"/>
  <c r="G468" i="2"/>
  <c r="G469" i="2" a="1"/>
  <c r="G469" i="2"/>
  <c r="G470" i="2" a="1"/>
  <c r="G470" i="2" s="1"/>
  <c r="G471" i="2" a="1"/>
  <c r="G471" i="2"/>
  <c r="G472" i="2" a="1"/>
  <c r="G472" i="2"/>
  <c r="G473" i="2" a="1"/>
  <c r="G473" i="2" s="1"/>
  <c r="G474" i="2" a="1"/>
  <c r="G474" i="2"/>
  <c r="G475" i="2" a="1"/>
  <c r="G475" i="2"/>
  <c r="G476" i="2" a="1"/>
  <c r="G476" i="2" s="1"/>
  <c r="G477" i="2" a="1"/>
  <c r="G477" i="2"/>
  <c r="G478" i="2" a="1"/>
  <c r="G478" i="2"/>
  <c r="G479" i="2" a="1"/>
  <c r="G479" i="2"/>
  <c r="G480" i="2" a="1"/>
  <c r="G480" i="2"/>
  <c r="G481" i="2" a="1"/>
  <c r="G481" i="2"/>
  <c r="G482" i="2" a="1"/>
  <c r="G482" i="2" s="1"/>
  <c r="G483" i="2" a="1"/>
  <c r="G483" i="2"/>
  <c r="G484" i="2" a="1"/>
  <c r="G484" i="2"/>
  <c r="G485" i="2" a="1"/>
  <c r="G485" i="2"/>
  <c r="G486" i="2" a="1"/>
  <c r="G486" i="2" s="1"/>
  <c r="G487" i="2" a="1"/>
  <c r="G487" i="2"/>
  <c r="G488" i="2" a="1"/>
  <c r="G488" i="2" s="1"/>
  <c r="G489" i="2" a="1"/>
  <c r="G489" i="2"/>
  <c r="G490" i="2" a="1"/>
  <c r="G490" i="2"/>
  <c r="G491" i="2" a="1"/>
  <c r="G491" i="2"/>
  <c r="G492" i="2" a="1"/>
  <c r="G492" i="2"/>
  <c r="G493" i="2" a="1"/>
  <c r="G493" i="2"/>
  <c r="G494" i="2" a="1"/>
  <c r="G494" i="2" s="1"/>
  <c r="G495" i="2" a="1"/>
  <c r="G495" i="2"/>
  <c r="G496" i="2" a="1"/>
  <c r="G496" i="2"/>
  <c r="G497" i="2" a="1"/>
  <c r="G497" i="2"/>
  <c r="G498" i="2" a="1"/>
  <c r="G498" i="2"/>
  <c r="G499" i="2" a="1"/>
  <c r="G499" i="2" s="1"/>
  <c r="G500" i="2" a="1"/>
  <c r="G500" i="2" s="1"/>
  <c r="G501" i="2" a="1"/>
  <c r="G501" i="2"/>
  <c r="G502" i="2" a="1"/>
  <c r="G502" i="2"/>
  <c r="G503" i="2" a="1"/>
  <c r="G503" i="2"/>
  <c r="G504" i="2" a="1"/>
  <c r="G504" i="2"/>
  <c r="G505" i="2" a="1"/>
  <c r="G505" i="2"/>
  <c r="G506" i="2" a="1"/>
  <c r="G506" i="2" s="1"/>
  <c r="G507" i="2" a="1"/>
  <c r="G507" i="2"/>
  <c r="G508" i="2" a="1"/>
  <c r="G508" i="2"/>
  <c r="G509" i="2" a="1"/>
  <c r="G509" i="2"/>
  <c r="G510" i="2" a="1"/>
  <c r="G510" i="2"/>
  <c r="G511" i="2" a="1"/>
  <c r="G511" i="2"/>
  <c r="G512" i="2" a="1"/>
  <c r="G512" i="2" s="1"/>
  <c r="G513" i="2" a="1"/>
  <c r="G513" i="2"/>
  <c r="G514" i="2" a="1"/>
  <c r="G514" i="2"/>
  <c r="G515" i="2" a="1"/>
  <c r="G515" i="2"/>
  <c r="G516" i="2" a="1"/>
  <c r="G516" i="2"/>
  <c r="G517" i="2" a="1"/>
  <c r="G517" i="2"/>
  <c r="G518" i="2" a="1"/>
  <c r="G518" i="2" s="1"/>
  <c r="G519" i="2" a="1"/>
  <c r="G519" i="2"/>
  <c r="G520" i="2" a="1"/>
  <c r="G520" i="2"/>
  <c r="G521" i="2" a="1"/>
  <c r="G521" i="2"/>
  <c r="G522" i="2" a="1"/>
  <c r="G522" i="2"/>
  <c r="G523" i="2" a="1"/>
  <c r="G523" i="2"/>
  <c r="G524" i="2" a="1"/>
  <c r="G524" i="2" s="1"/>
  <c r="G525" i="2" a="1"/>
  <c r="G525" i="2"/>
  <c r="G526" i="2" a="1"/>
  <c r="G526" i="2"/>
  <c r="G527" i="2" a="1"/>
  <c r="G527" i="2"/>
  <c r="G528" i="2" a="1"/>
  <c r="G528" i="2"/>
  <c r="G529" i="2" a="1"/>
  <c r="G529" i="2"/>
  <c r="G530" i="2" a="1"/>
  <c r="G530" i="2" s="1"/>
  <c r="G531" i="2" a="1"/>
  <c r="G531" i="2"/>
  <c r="G532" i="2" a="1"/>
  <c r="G532" i="2"/>
  <c r="G533" i="2" a="1"/>
  <c r="G533" i="2"/>
  <c r="G534" i="2" a="1"/>
  <c r="G534" i="2"/>
  <c r="G535" i="2" a="1"/>
  <c r="G535" i="2"/>
  <c r="G536" i="2" a="1"/>
  <c r="G536" i="2" s="1"/>
  <c r="G537" i="2" a="1"/>
  <c r="G537" i="2"/>
  <c r="G538" i="2" a="1"/>
  <c r="G538" i="2"/>
  <c r="G539" i="2" a="1"/>
  <c r="G539" i="2"/>
  <c r="G540" i="2" a="1"/>
  <c r="G540" i="2"/>
  <c r="G541" i="2" a="1"/>
  <c r="G541" i="2"/>
  <c r="G542" i="2" a="1"/>
  <c r="G542" i="2" s="1"/>
  <c r="G543" i="2" a="1"/>
  <c r="G543" i="2"/>
  <c r="G544" i="2" a="1"/>
  <c r="G544" i="2"/>
  <c r="G545" i="2" a="1"/>
  <c r="G545" i="2"/>
  <c r="G546" i="2" a="1"/>
  <c r="G546" i="2"/>
  <c r="G547" i="2" a="1"/>
  <c r="G547" i="2"/>
  <c r="G548" i="2" a="1"/>
  <c r="G548" i="2" s="1"/>
  <c r="G549" i="2" a="1"/>
  <c r="G549" i="2"/>
  <c r="G550" i="2" a="1"/>
  <c r="G550" i="2" s="1"/>
  <c r="G551" i="2" a="1"/>
  <c r="G551" i="2"/>
  <c r="G552" i="2" a="1"/>
  <c r="G552" i="2"/>
  <c r="G553" i="2" a="1"/>
  <c r="G553" i="2"/>
  <c r="G554" i="2" a="1"/>
  <c r="G554" i="2" s="1"/>
  <c r="G555" i="2" a="1"/>
  <c r="G555" i="2"/>
  <c r="G556" i="2" a="1"/>
  <c r="G556" i="2"/>
  <c r="G557" i="2" a="1"/>
  <c r="G557" i="2"/>
  <c r="G558" i="2" a="1"/>
  <c r="G558" i="2"/>
  <c r="G559" i="2" a="1"/>
  <c r="G559" i="2"/>
  <c r="G560" i="2" a="1"/>
  <c r="G560" i="2" s="1"/>
  <c r="G561" i="2" a="1"/>
  <c r="G561" i="2"/>
  <c r="G562" i="2" a="1"/>
  <c r="G562" i="2"/>
  <c r="G563" i="2" a="1"/>
  <c r="G563" i="2"/>
  <c r="G564" i="2" a="1"/>
  <c r="G564" i="2"/>
  <c r="G565" i="2" a="1"/>
  <c r="G565" i="2"/>
  <c r="G566" i="2" a="1"/>
  <c r="G566" i="2" s="1"/>
  <c r="G567" i="2" a="1"/>
  <c r="G567" i="2"/>
  <c r="G568" i="2" a="1"/>
  <c r="G568" i="2"/>
  <c r="G569" i="2" a="1"/>
  <c r="G569" i="2"/>
  <c r="G570" i="2" a="1"/>
  <c r="G570" i="2"/>
  <c r="G571" i="2" a="1"/>
  <c r="G571" i="2"/>
  <c r="G572" i="2" a="1"/>
  <c r="G572" i="2" s="1"/>
  <c r="G573" i="2" a="1"/>
  <c r="G573" i="2"/>
  <c r="G574" i="2" a="1"/>
  <c r="G574" i="2"/>
  <c r="G575" i="2" a="1"/>
  <c r="G575" i="2"/>
  <c r="G576" i="2" a="1"/>
  <c r="G576" i="2"/>
  <c r="G577" i="2" a="1"/>
  <c r="G577" i="2"/>
  <c r="G578" i="2" a="1"/>
  <c r="G578" i="2" s="1"/>
  <c r="G579" i="2" a="1"/>
  <c r="G579" i="2"/>
  <c r="G580" i="2" a="1"/>
  <c r="G580" i="2"/>
  <c r="G581" i="2" a="1"/>
  <c r="G581" i="2"/>
  <c r="G582" i="2" a="1"/>
  <c r="G582" i="2"/>
  <c r="J10" i="2"/>
  <c r="J19" i="2"/>
  <c r="J25" i="2"/>
  <c r="J26" i="2"/>
  <c r="J27" i="2"/>
  <c r="J31" i="2"/>
  <c r="J34" i="2"/>
  <c r="J35" i="2"/>
  <c r="J43" i="2"/>
  <c r="J50" i="2"/>
  <c r="J51" i="2"/>
  <c r="J55" i="2"/>
  <c r="J59" i="2"/>
  <c r="J60" i="2"/>
  <c r="J62" i="2"/>
  <c r="J71" i="2"/>
  <c r="J72" i="2"/>
  <c r="J73" i="2"/>
  <c r="J74" i="2"/>
  <c r="J75" i="2"/>
  <c r="J83" i="2"/>
  <c r="J86" i="2"/>
  <c r="J87" i="2"/>
  <c r="J91" i="2"/>
  <c r="J94" i="2"/>
  <c r="J95" i="2"/>
  <c r="J96" i="2"/>
  <c r="J98" i="2"/>
  <c r="J99" i="2"/>
  <c r="J103" i="2"/>
  <c r="J119" i="2"/>
  <c r="J120" i="2"/>
  <c r="J121" i="2"/>
  <c r="J122" i="2"/>
  <c r="J123" i="2"/>
  <c r="J127" i="2"/>
  <c r="J130" i="2"/>
  <c r="J134" i="2"/>
  <c r="J139" i="2"/>
  <c r="J143" i="2"/>
  <c r="J144" i="2"/>
  <c r="J151" i="2"/>
  <c r="J156" i="2"/>
  <c r="J157" i="2"/>
  <c r="J158" i="2"/>
  <c r="J159" i="2"/>
  <c r="J166" i="2"/>
  <c r="J167" i="2"/>
  <c r="J168" i="2"/>
  <c r="J169" i="2"/>
  <c r="J170" i="2"/>
  <c r="J183" i="2"/>
  <c r="J187" i="2"/>
  <c r="J191" i="2"/>
  <c r="J192" i="2"/>
  <c r="J193" i="2"/>
  <c r="J194" i="2"/>
  <c r="J199" i="2"/>
  <c r="J211" i="2"/>
  <c r="J217" i="2"/>
  <c r="J218" i="2"/>
  <c r="J226" i="2"/>
  <c r="J228" i="2"/>
  <c r="J229" i="2"/>
  <c r="J230" i="2"/>
  <c r="J231" i="2"/>
  <c r="J239" i="2"/>
  <c r="J240" i="2"/>
  <c r="J241" i="2"/>
  <c r="J250" i="2"/>
  <c r="J253" i="2"/>
  <c r="J254" i="2"/>
  <c r="J255" i="2"/>
  <c r="J259" i="2"/>
  <c r="J263" i="2"/>
  <c r="J264" i="2"/>
  <c r="J266" i="2"/>
  <c r="J271" i="2"/>
  <c r="J277" i="2"/>
  <c r="J283" i="2"/>
  <c r="J286" i="2"/>
  <c r="J287" i="2"/>
  <c r="J291" i="2"/>
  <c r="J299" i="2"/>
  <c r="J300" i="2"/>
  <c r="J301" i="2"/>
  <c r="J302" i="2"/>
  <c r="J303" i="2"/>
  <c r="J310" i="2"/>
  <c r="J319" i="2"/>
  <c r="J327" i="2"/>
  <c r="J331" i="2"/>
  <c r="J335" i="2"/>
  <c r="J339" i="2"/>
  <c r="J346" i="2"/>
  <c r="J347" i="2"/>
  <c r="J348" i="2"/>
  <c r="J349" i="2"/>
  <c r="J350" i="2"/>
  <c r="J351" i="2"/>
  <c r="J360" i="2"/>
  <c r="J361" i="2"/>
  <c r="J362" i="2"/>
  <c r="J363" i="2"/>
  <c r="J367" i="2"/>
  <c r="J370" i="2"/>
  <c r="J371" i="2"/>
  <c r="J373" i="2"/>
  <c r="J374" i="2"/>
  <c r="J375" i="2"/>
  <c r="J383" i="2"/>
  <c r="J384" i="2"/>
  <c r="J386" i="2"/>
  <c r="J387" i="2"/>
  <c r="J391" i="2"/>
  <c r="J394" i="2"/>
  <c r="J395" i="2"/>
  <c r="J403" i="2"/>
  <c r="J409" i="2"/>
  <c r="J411" i="2"/>
  <c r="J415" i="2"/>
  <c r="J430" i="2"/>
  <c r="J431" i="2"/>
  <c r="J432" i="2"/>
  <c r="J433" i="2"/>
  <c r="J434" i="2"/>
  <c r="J444" i="2"/>
  <c r="J451" i="2"/>
  <c r="J454" i="2"/>
  <c r="J463" i="2"/>
  <c r="J466" i="2"/>
  <c r="J467" i="2"/>
  <c r="J468" i="2"/>
  <c r="J469" i="2"/>
  <c r="J470" i="2"/>
  <c r="J471" i="2"/>
  <c r="J478" i="2"/>
  <c r="J481" i="2"/>
  <c r="J487" i="2"/>
  <c r="J490" i="2"/>
  <c r="J491" i="2"/>
  <c r="J492" i="2"/>
  <c r="J493" i="2"/>
  <c r="J494" i="2"/>
  <c r="J495" i="2"/>
  <c r="J504" i="2"/>
  <c r="J505" i="2"/>
  <c r="J506" i="2"/>
  <c r="J507" i="2"/>
  <c r="J514" i="2"/>
  <c r="J515" i="2"/>
  <c r="J516" i="2"/>
  <c r="J517" i="2"/>
  <c r="J523" i="2"/>
  <c r="J531" i="2"/>
  <c r="J535" i="2"/>
  <c r="J538" i="2"/>
  <c r="J539" i="2"/>
  <c r="J542" i="2"/>
  <c r="J543" i="2"/>
  <c r="J550" i="2"/>
  <c r="J551" i="2"/>
  <c r="J552" i="2"/>
  <c r="J553" i="2"/>
  <c r="J554" i="2"/>
  <c r="J555" i="2"/>
  <c r="J559" i="2"/>
  <c r="J563" i="2"/>
  <c r="J571" i="2"/>
  <c r="J574" i="2"/>
  <c r="J575" i="2"/>
  <c r="J576" i="2"/>
  <c r="J577" i="2"/>
  <c r="J578" i="2"/>
  <c r="D2" i="2" a="1"/>
  <c r="D2" i="2" s="1"/>
  <c r="J2" i="2" s="1"/>
  <c r="D3" i="2" a="1"/>
  <c r="D3" i="2" s="1"/>
  <c r="J3" i="2" s="1"/>
  <c r="D4" i="2" a="1"/>
  <c r="D4" i="2" s="1"/>
  <c r="J4" i="2" s="1"/>
  <c r="D5" i="2" a="1"/>
  <c r="D5" i="2" s="1"/>
  <c r="J5" i="2" s="1"/>
  <c r="D6" i="2" a="1"/>
  <c r="D6" i="2"/>
  <c r="J6" i="2" s="1"/>
  <c r="D7" i="2" a="1"/>
  <c r="D7" i="2"/>
  <c r="J7" i="2" s="1"/>
  <c r="D8" i="2" a="1"/>
  <c r="D8" i="2" s="1"/>
  <c r="J8" i="2" s="1"/>
  <c r="D9" i="2" a="1"/>
  <c r="D9" i="2" s="1"/>
  <c r="J9" i="2" s="1"/>
  <c r="D10" i="2" a="1"/>
  <c r="D10" i="2" s="1"/>
  <c r="D11" i="2" a="1"/>
  <c r="D11" i="2"/>
  <c r="J11" i="2" s="1"/>
  <c r="D12" i="2" a="1"/>
  <c r="D12" i="2" s="1"/>
  <c r="J12" i="2" s="1"/>
  <c r="D13" i="2" a="1"/>
  <c r="D13" i="2"/>
  <c r="J13" i="2" s="1"/>
  <c r="D14" i="2" a="1"/>
  <c r="D14" i="2" s="1"/>
  <c r="J14" i="2" s="1"/>
  <c r="D15" i="2" a="1"/>
  <c r="D15" i="2"/>
  <c r="J15" i="2" s="1"/>
  <c r="D16" i="2" a="1"/>
  <c r="D16" i="2"/>
  <c r="J16" i="2" s="1"/>
  <c r="D17" i="2" a="1"/>
  <c r="D17" i="2" s="1"/>
  <c r="J17" i="2" s="1"/>
  <c r="D18" i="2" a="1"/>
  <c r="D18" i="2"/>
  <c r="J18" i="2" s="1"/>
  <c r="D19" i="2" a="1"/>
  <c r="D19" i="2" s="1"/>
  <c r="D20" i="2" a="1"/>
  <c r="D20" i="2" s="1"/>
  <c r="J20" i="2" s="1"/>
  <c r="D21" i="2" a="1"/>
  <c r="D21" i="2"/>
  <c r="J21" i="2" s="1"/>
  <c r="D22" i="2" a="1"/>
  <c r="D22" i="2"/>
  <c r="J22" i="2" s="1"/>
  <c r="D23" i="2" a="1"/>
  <c r="D23" i="2"/>
  <c r="J23" i="2" s="1"/>
  <c r="D24" i="2" a="1"/>
  <c r="D24" i="2" s="1"/>
  <c r="J24" i="2" s="1"/>
  <c r="D25" i="2" a="1"/>
  <c r="D25" i="2" s="1"/>
  <c r="D26" i="2" a="1"/>
  <c r="D26" i="2" s="1"/>
  <c r="D27" i="2" a="1"/>
  <c r="D27" i="2"/>
  <c r="D28" i="2" a="1"/>
  <c r="D28" i="2" s="1"/>
  <c r="J28" i="2" s="1"/>
  <c r="D29" i="2" a="1"/>
  <c r="D29" i="2"/>
  <c r="J29" i="2" s="1"/>
  <c r="D30" i="2" a="1"/>
  <c r="D30" i="2" s="1"/>
  <c r="J30" i="2" s="1"/>
  <c r="D31" i="2" a="1"/>
  <c r="D31" i="2" s="1"/>
  <c r="D32" i="2" a="1"/>
  <c r="D32" i="2" s="1"/>
  <c r="J32" i="2" s="1"/>
  <c r="D33" i="2" a="1"/>
  <c r="D33" i="2"/>
  <c r="J33" i="2" s="1"/>
  <c r="D34" i="2" a="1"/>
  <c r="D34" i="2" s="1"/>
  <c r="D35" i="2" a="1"/>
  <c r="D35" i="2"/>
  <c r="D36" i="2" a="1"/>
  <c r="D36" i="2"/>
  <c r="J36" i="2" s="1"/>
  <c r="D37" i="2" a="1"/>
  <c r="D37" i="2"/>
  <c r="J37" i="2" s="1"/>
  <c r="D38" i="2" a="1"/>
  <c r="D38" i="2" s="1"/>
  <c r="J38" i="2" s="1"/>
  <c r="D39" i="2" a="1"/>
  <c r="D39" i="2" s="1"/>
  <c r="J39" i="2" s="1"/>
  <c r="D40" i="2" a="1"/>
  <c r="D40" i="2" s="1"/>
  <c r="J40" i="2" s="1"/>
  <c r="D41" i="2" a="1"/>
  <c r="D41" i="2" s="1"/>
  <c r="J41" i="2" s="1"/>
  <c r="D42" i="2" a="1"/>
  <c r="D42" i="2" s="1"/>
  <c r="J42" i="2" s="1"/>
  <c r="D43" i="2" a="1"/>
  <c r="D43" i="2" s="1"/>
  <c r="D44" i="2" a="1"/>
  <c r="D44" i="2" s="1"/>
  <c r="J44" i="2" s="1"/>
  <c r="D45" i="2" a="1"/>
  <c r="D45" i="2"/>
  <c r="J45" i="2" s="1"/>
  <c r="D46" i="2" a="1"/>
  <c r="D46" i="2"/>
  <c r="J46" i="2" s="1"/>
  <c r="D47" i="2" a="1"/>
  <c r="D47" i="2"/>
  <c r="J47" i="2" s="1"/>
  <c r="D48" i="2" a="1"/>
  <c r="D48" i="2" s="1"/>
  <c r="J48" i="2" s="1"/>
  <c r="D49" i="2" a="1"/>
  <c r="D49" i="2"/>
  <c r="J49" i="2" s="1"/>
  <c r="D50" i="2" a="1"/>
  <c r="D50" i="2" s="1"/>
  <c r="D51" i="2" a="1"/>
  <c r="D51" i="2" s="1"/>
  <c r="D52" i="2" a="1"/>
  <c r="D52" i="2" s="1"/>
  <c r="J52" i="2" s="1"/>
  <c r="D53" i="2" a="1"/>
  <c r="D53" i="2"/>
  <c r="J53" i="2" s="1"/>
  <c r="D54" i="2" a="1"/>
  <c r="D54" i="2" s="1"/>
  <c r="J54" i="2" s="1"/>
  <c r="D55" i="2" a="1"/>
  <c r="D55" i="2"/>
  <c r="D56" i="2" a="1"/>
  <c r="D56" i="2" s="1"/>
  <c r="J56" i="2" s="1"/>
  <c r="D57" i="2" a="1"/>
  <c r="D57" i="2"/>
  <c r="J57" i="2" s="1"/>
  <c r="D58" i="2" a="1"/>
  <c r="D58" i="2" s="1"/>
  <c r="J58" i="2" s="1"/>
  <c r="D59" i="2" a="1"/>
  <c r="D59" i="2" s="1"/>
  <c r="D60" i="2" a="1"/>
  <c r="D60" i="2"/>
  <c r="D61" i="2" a="1"/>
  <c r="D61" i="2"/>
  <c r="J61" i="2" s="1"/>
  <c r="D62" i="2" a="1"/>
  <c r="D62" i="2" s="1"/>
  <c r="D63" i="2" a="1"/>
  <c r="D63" i="2" s="1"/>
  <c r="J63" i="2" s="1"/>
  <c r="D64" i="2" a="1"/>
  <c r="D64" i="2" s="1"/>
  <c r="J64" i="2" s="1"/>
  <c r="D65" i="2" a="1"/>
  <c r="D65" i="2" s="1"/>
  <c r="J65" i="2" s="1"/>
  <c r="D66" i="2" a="1"/>
  <c r="D66" i="2" s="1"/>
  <c r="J66" i="2" s="1"/>
  <c r="D67" i="2" a="1"/>
  <c r="D67" i="2" s="1"/>
  <c r="J67" i="2" s="1"/>
  <c r="D68" i="2" a="1"/>
  <c r="D68" i="2" s="1"/>
  <c r="J68" i="2" s="1"/>
  <c r="D69" i="2" a="1"/>
  <c r="D69" i="2"/>
  <c r="J69" i="2" s="1"/>
  <c r="D70" i="2" a="1"/>
  <c r="D70" i="2"/>
  <c r="J70" i="2" s="1"/>
  <c r="D71" i="2" a="1"/>
  <c r="D71" i="2" s="1"/>
  <c r="D72" i="2" a="1"/>
  <c r="D72" i="2" s="1"/>
  <c r="D73" i="2" a="1"/>
  <c r="D73" i="2" s="1"/>
  <c r="D74" i="2" a="1"/>
  <c r="D74" i="2" s="1"/>
  <c r="D75" i="2" a="1"/>
  <c r="D75" i="2"/>
  <c r="D76" i="2" a="1"/>
  <c r="D76" i="2" s="1"/>
  <c r="J76" i="2" s="1"/>
  <c r="D77" i="2" a="1"/>
  <c r="D77" i="2" s="1"/>
  <c r="J77" i="2" s="1"/>
  <c r="D78" i="2" a="1"/>
  <c r="D78" i="2"/>
  <c r="J78" i="2" s="1"/>
  <c r="D79" i="2" a="1"/>
  <c r="D79" i="2" s="1"/>
  <c r="J79" i="2" s="1"/>
  <c r="D80" i="2" a="1"/>
  <c r="D80" i="2" s="1"/>
  <c r="J80" i="2" s="1"/>
  <c r="D81" i="2" a="1"/>
  <c r="D81" i="2" s="1"/>
  <c r="J81" i="2" s="1"/>
  <c r="D82" i="2" a="1"/>
  <c r="D82" i="2" s="1"/>
  <c r="J82" i="2" s="1"/>
  <c r="D83" i="2" a="1"/>
  <c r="D83" i="2"/>
  <c r="D84" i="2" a="1"/>
  <c r="D84" i="2"/>
  <c r="J84" i="2" s="1"/>
  <c r="D85" i="2" a="1"/>
  <c r="D85" i="2" s="1"/>
  <c r="J85" i="2" s="1"/>
  <c r="D86" i="2" a="1"/>
  <c r="D86" i="2" s="1"/>
  <c r="D87" i="2" a="1"/>
  <c r="D87" i="2" s="1"/>
  <c r="D88" i="2" a="1"/>
  <c r="D88" i="2" s="1"/>
  <c r="J88" i="2" s="1"/>
  <c r="D89" i="2" a="1"/>
  <c r="D89" i="2" s="1"/>
  <c r="J89" i="2" s="1"/>
  <c r="D90" i="2" a="1"/>
  <c r="D90" i="2"/>
  <c r="J90" i="2" s="1"/>
  <c r="D91" i="2" a="1"/>
  <c r="D91" i="2"/>
  <c r="D92" i="2" a="1"/>
  <c r="D92" i="2" s="1"/>
  <c r="J92" i="2" s="1"/>
  <c r="D93" i="2" a="1"/>
  <c r="D93" i="2"/>
  <c r="J93" i="2" s="1"/>
  <c r="D94" i="2" a="1"/>
  <c r="D94" i="2" s="1"/>
  <c r="D95" i="2" a="1"/>
  <c r="D95" i="2" s="1"/>
  <c r="D96" i="2" a="1"/>
  <c r="D96" i="2" s="1"/>
  <c r="D97" i="2" a="1"/>
  <c r="D97" i="2"/>
  <c r="J97" i="2" s="1"/>
  <c r="D98" i="2" a="1"/>
  <c r="D98" i="2" s="1"/>
  <c r="D99" i="2" a="1"/>
  <c r="D99" i="2"/>
  <c r="D100" i="2" a="1"/>
  <c r="D100" i="2" s="1"/>
  <c r="J100" i="2" s="1"/>
  <c r="D101" i="2" a="1"/>
  <c r="D101" i="2" s="1"/>
  <c r="J101" i="2" s="1"/>
  <c r="D102" i="2" a="1"/>
  <c r="D102" i="2" s="1"/>
  <c r="J102" i="2" s="1"/>
  <c r="D103" i="2" a="1"/>
  <c r="D103" i="2" s="1"/>
  <c r="D104" i="2" a="1"/>
  <c r="D104" i="2" s="1"/>
  <c r="J104" i="2" s="1"/>
  <c r="D105" i="2" a="1"/>
  <c r="D105" i="2"/>
  <c r="J105" i="2" s="1"/>
  <c r="D106" i="2" a="1"/>
  <c r="D106" i="2" s="1"/>
  <c r="J106" i="2" s="1"/>
  <c r="D107" i="2" a="1"/>
  <c r="D107" i="2" s="1"/>
  <c r="J107" i="2" s="1"/>
  <c r="D108" i="2" a="1"/>
  <c r="D108" i="2" s="1"/>
  <c r="J108" i="2" s="1"/>
  <c r="D109" i="2" a="1"/>
  <c r="D109" i="2" s="1"/>
  <c r="J109" i="2" s="1"/>
  <c r="D110" i="2" a="1"/>
  <c r="D110" i="2" s="1"/>
  <c r="J110" i="2" s="1"/>
  <c r="D111" i="2" a="1"/>
  <c r="D111" i="2" s="1"/>
  <c r="J111" i="2" s="1"/>
  <c r="D112" i="2" a="1"/>
  <c r="D112" i="2"/>
  <c r="J112" i="2" s="1"/>
  <c r="D113" i="2" a="1"/>
  <c r="D113" i="2" s="1"/>
  <c r="J113" i="2" s="1"/>
  <c r="D114" i="2" a="1"/>
  <c r="D114" i="2" s="1"/>
  <c r="J114" i="2" s="1"/>
  <c r="D115" i="2" a="1"/>
  <c r="D115" i="2" s="1"/>
  <c r="J115" i="2" s="1"/>
  <c r="D116" i="2" a="1"/>
  <c r="D116" i="2" s="1"/>
  <c r="J116" i="2" s="1"/>
  <c r="D117" i="2" a="1"/>
  <c r="D117" i="2" s="1"/>
  <c r="J117" i="2" s="1"/>
  <c r="D118" i="2" a="1"/>
  <c r="D118" i="2" s="1"/>
  <c r="J118" i="2" s="1"/>
  <c r="D119" i="2" a="1"/>
  <c r="D119" i="2"/>
  <c r="D120" i="2" a="1"/>
  <c r="D120" i="2"/>
  <c r="D121" i="2" a="1"/>
  <c r="D121" i="2"/>
  <c r="D122" i="2" a="1"/>
  <c r="D122" i="2" s="1"/>
  <c r="D123" i="2" a="1"/>
  <c r="D123" i="2" s="1"/>
  <c r="D124" i="2" a="1"/>
  <c r="D124" i="2" s="1"/>
  <c r="J124" i="2" s="1"/>
  <c r="D125" i="2" a="1"/>
  <c r="D125" i="2" s="1"/>
  <c r="J125" i="2" s="1"/>
  <c r="D126" i="2" a="1"/>
  <c r="D126" i="2" s="1"/>
  <c r="J126" i="2" s="1"/>
  <c r="D127" i="2" a="1"/>
  <c r="D127" i="2"/>
  <c r="D128" i="2" a="1"/>
  <c r="D128" i="2" s="1"/>
  <c r="J128" i="2" s="1"/>
  <c r="D129" i="2" a="1"/>
  <c r="D129" i="2" s="1"/>
  <c r="J129" i="2" s="1"/>
  <c r="D130" i="2" a="1"/>
  <c r="D130" i="2" s="1"/>
  <c r="D131" i="2" a="1"/>
  <c r="D131" i="2" s="1"/>
  <c r="J131" i="2" s="1"/>
  <c r="D132" i="2" a="1"/>
  <c r="D132" i="2" s="1"/>
  <c r="J132" i="2" s="1"/>
  <c r="D133" i="2" a="1"/>
  <c r="D133" i="2" s="1"/>
  <c r="J133" i="2" s="1"/>
  <c r="D134" i="2" a="1"/>
  <c r="D134" i="2" s="1"/>
  <c r="D135" i="2" a="1"/>
  <c r="D135" i="2" s="1"/>
  <c r="J135" i="2" s="1"/>
  <c r="D136" i="2" a="1"/>
  <c r="D136" i="2" s="1"/>
  <c r="J136" i="2" s="1"/>
  <c r="D137" i="2" a="1"/>
  <c r="D137" i="2" s="1"/>
  <c r="J137" i="2" s="1"/>
  <c r="D138" i="2" a="1"/>
  <c r="D138" i="2"/>
  <c r="J138" i="2" s="1"/>
  <c r="D139" i="2" a="1"/>
  <c r="D139" i="2" s="1"/>
  <c r="D140" i="2" a="1"/>
  <c r="D140" i="2" s="1"/>
  <c r="J140" i="2" s="1"/>
  <c r="D141" i="2" a="1"/>
  <c r="D141" i="2" s="1"/>
  <c r="J141" i="2" s="1"/>
  <c r="D142" i="2" a="1"/>
  <c r="D142" i="2" s="1"/>
  <c r="J142" i="2" s="1"/>
  <c r="D143" i="2" a="1"/>
  <c r="D143" i="2" s="1"/>
  <c r="D144" i="2" a="1"/>
  <c r="D144" i="2" s="1"/>
  <c r="D145" i="2" a="1"/>
  <c r="D145" i="2"/>
  <c r="J145" i="2" s="1"/>
  <c r="D146" i="2" a="1"/>
  <c r="D146" i="2" s="1"/>
  <c r="J146" i="2" s="1"/>
  <c r="D147" i="2" a="1"/>
  <c r="D147" i="2" s="1"/>
  <c r="J147" i="2" s="1"/>
  <c r="D148" i="2" a="1"/>
  <c r="D148" i="2" s="1"/>
  <c r="J148" i="2" s="1"/>
  <c r="D149" i="2" a="1"/>
  <c r="D149" i="2" s="1"/>
  <c r="J149" i="2" s="1"/>
  <c r="D150" i="2" a="1"/>
  <c r="D150" i="2" s="1"/>
  <c r="J150" i="2" s="1"/>
  <c r="D151" i="2" a="1"/>
  <c r="D151" i="2" s="1"/>
  <c r="D152" i="2" a="1"/>
  <c r="D152" i="2" s="1"/>
  <c r="J152" i="2" s="1"/>
  <c r="D153" i="2" a="1"/>
  <c r="D153" i="2"/>
  <c r="J153" i="2" s="1"/>
  <c r="D154" i="2" a="1"/>
  <c r="D154" i="2"/>
  <c r="J154" i="2" s="1"/>
  <c r="D155" i="2" a="1"/>
  <c r="D155" i="2"/>
  <c r="J155" i="2" s="1"/>
  <c r="D156" i="2" a="1"/>
  <c r="D156" i="2"/>
  <c r="D157" i="2" a="1"/>
  <c r="D157" i="2" s="1"/>
  <c r="D158" i="2" a="1"/>
  <c r="D158" i="2" s="1"/>
  <c r="D159" i="2" a="1"/>
  <c r="D159" i="2" s="1"/>
  <c r="D160" i="2" a="1"/>
  <c r="D160" i="2"/>
  <c r="J160" i="2" s="1"/>
  <c r="D161" i="2" a="1"/>
  <c r="D161" i="2" s="1"/>
  <c r="J161" i="2" s="1"/>
  <c r="D162" i="2" a="1"/>
  <c r="D162" i="2"/>
  <c r="J162" i="2" s="1"/>
  <c r="D163" i="2" a="1"/>
  <c r="D163" i="2" s="1"/>
  <c r="J163" i="2" s="1"/>
  <c r="D164" i="2" a="1"/>
  <c r="D164" i="2" s="1"/>
  <c r="J164" i="2" s="1"/>
  <c r="D165" i="2" a="1"/>
  <c r="D165" i="2"/>
  <c r="J165" i="2" s="1"/>
  <c r="D166" i="2" a="1"/>
  <c r="D166" i="2"/>
  <c r="D167" i="2" a="1"/>
  <c r="D167" i="2"/>
  <c r="D168" i="2" a="1"/>
  <c r="D168" i="2" s="1"/>
  <c r="D169" i="2" a="1"/>
  <c r="D169" i="2"/>
  <c r="D170" i="2" a="1"/>
  <c r="D170" i="2" s="1"/>
  <c r="D171" i="2" a="1"/>
  <c r="D171" i="2" s="1"/>
  <c r="J171" i="2" s="1"/>
  <c r="D172" i="2" a="1"/>
  <c r="D172" i="2" s="1"/>
  <c r="J172" i="2" s="1"/>
  <c r="D173" i="2" a="1"/>
  <c r="D173" i="2" s="1"/>
  <c r="J173" i="2" s="1"/>
  <c r="D174" i="2" a="1"/>
  <c r="D174" i="2" s="1"/>
  <c r="J174" i="2" s="1"/>
  <c r="D175" i="2" a="1"/>
  <c r="D175" i="2"/>
  <c r="J175" i="2" s="1"/>
  <c r="D176" i="2" a="1"/>
  <c r="D176" i="2" s="1"/>
  <c r="J176" i="2" s="1"/>
  <c r="D177" i="2" a="1"/>
  <c r="D177" i="2" s="1"/>
  <c r="J177" i="2" s="1"/>
  <c r="D178" i="2" a="1"/>
  <c r="D178" i="2" s="1"/>
  <c r="J178" i="2" s="1"/>
  <c r="D179" i="2" a="1"/>
  <c r="D179" i="2" s="1"/>
  <c r="J179" i="2" s="1"/>
  <c r="D180" i="2" a="1"/>
  <c r="D180" i="2" s="1"/>
  <c r="J180" i="2" s="1"/>
  <c r="D181" i="2" a="1"/>
  <c r="D181" i="2"/>
  <c r="J181" i="2" s="1"/>
  <c r="D182" i="2" a="1"/>
  <c r="D182" i="2" s="1"/>
  <c r="J182" i="2" s="1"/>
  <c r="D183" i="2" a="1"/>
  <c r="D183" i="2"/>
  <c r="D184" i="2" a="1"/>
  <c r="D184" i="2"/>
  <c r="J184" i="2" s="1"/>
  <c r="D185" i="2" a="1"/>
  <c r="D185" i="2" s="1"/>
  <c r="J185" i="2" s="1"/>
  <c r="D186" i="2" a="1"/>
  <c r="D186" i="2" s="1"/>
  <c r="J186" i="2" s="1"/>
  <c r="D187" i="2" a="1"/>
  <c r="D187" i="2" s="1"/>
  <c r="D188" i="2" a="1"/>
  <c r="D188" i="2" s="1"/>
  <c r="J188" i="2" s="1"/>
  <c r="D189" i="2" a="1"/>
  <c r="D189" i="2"/>
  <c r="J189" i="2" s="1"/>
  <c r="D190" i="2" a="1"/>
  <c r="D190" i="2"/>
  <c r="J190" i="2" s="1"/>
  <c r="D191" i="2" a="1"/>
  <c r="D191" i="2"/>
  <c r="D192" i="2" a="1"/>
  <c r="D192" i="2" s="1"/>
  <c r="D193" i="2" a="1"/>
  <c r="D193" i="2" s="1"/>
  <c r="D194" i="2" a="1"/>
  <c r="D194" i="2" s="1"/>
  <c r="D195" i="2" a="1"/>
  <c r="D195" i="2"/>
  <c r="J195" i="2" s="1"/>
  <c r="D196" i="2" a="1"/>
  <c r="D196" i="2"/>
  <c r="J196" i="2" s="1"/>
  <c r="D197" i="2" a="1"/>
  <c r="D197" i="2"/>
  <c r="J197" i="2" s="1"/>
  <c r="D198" i="2" a="1"/>
  <c r="D198" i="2" s="1"/>
  <c r="J198" i="2" s="1"/>
  <c r="D199" i="2" a="1"/>
  <c r="D199" i="2" s="1"/>
  <c r="D200" i="2" a="1"/>
  <c r="D200" i="2" s="1"/>
  <c r="J200" i="2" s="1"/>
  <c r="D201" i="2" a="1"/>
  <c r="D201" i="2" s="1"/>
  <c r="J201" i="2" s="1"/>
  <c r="D202" i="2" a="1"/>
  <c r="D202" i="2" s="1"/>
  <c r="J202" i="2" s="1"/>
  <c r="D203" i="2" a="1"/>
  <c r="D203" i="2" s="1"/>
  <c r="J203" i="2" s="1"/>
  <c r="D204" i="2" a="1"/>
  <c r="D204" i="2"/>
  <c r="J204" i="2" s="1"/>
  <c r="D205" i="2" a="1"/>
  <c r="D205" i="2"/>
  <c r="J205" i="2" s="1"/>
  <c r="D206" i="2" a="1"/>
  <c r="D206" i="2" s="1"/>
  <c r="J206" i="2" s="1"/>
  <c r="D207" i="2" a="1"/>
  <c r="D207" i="2" s="1"/>
  <c r="J207" i="2" s="1"/>
  <c r="D208" i="2" a="1"/>
  <c r="D208" i="2" s="1"/>
  <c r="J208" i="2" s="1"/>
  <c r="D209" i="2" a="1"/>
  <c r="D209" i="2"/>
  <c r="J209" i="2" s="1"/>
  <c r="D210" i="2" a="1"/>
  <c r="D210" i="2"/>
  <c r="J210" i="2" s="1"/>
  <c r="D211" i="2" a="1"/>
  <c r="D211" i="2" s="1"/>
  <c r="D212" i="2" a="1"/>
  <c r="D212" i="2" s="1"/>
  <c r="J212" i="2" s="1"/>
  <c r="D213" i="2" a="1"/>
  <c r="D213" i="2"/>
  <c r="J213" i="2" s="1"/>
  <c r="D214" i="2" a="1"/>
  <c r="D214" i="2" s="1"/>
  <c r="J214" i="2" s="1"/>
  <c r="D215" i="2" a="1"/>
  <c r="D215" i="2" s="1"/>
  <c r="J215" i="2" s="1"/>
  <c r="D216" i="2" a="1"/>
  <c r="D216" i="2" s="1"/>
  <c r="J216" i="2" s="1"/>
  <c r="D217" i="2" a="1"/>
  <c r="D217" i="2"/>
  <c r="D218" i="2" a="1"/>
  <c r="D218" i="2" s="1"/>
  <c r="D219" i="2" a="1"/>
  <c r="D219" i="2" s="1"/>
  <c r="J219" i="2" s="1"/>
  <c r="D220" i="2" a="1"/>
  <c r="D220" i="2" s="1"/>
  <c r="J220" i="2" s="1"/>
  <c r="D221" i="2" a="1"/>
  <c r="D221" i="2" s="1"/>
  <c r="J221" i="2" s="1"/>
  <c r="D222" i="2" a="1"/>
  <c r="D222" i="2" s="1"/>
  <c r="J222" i="2" s="1"/>
  <c r="D223" i="2" a="1"/>
  <c r="D223" i="2"/>
  <c r="J223" i="2" s="1"/>
  <c r="D224" i="2" a="1"/>
  <c r="D224" i="2" s="1"/>
  <c r="J224" i="2" s="1"/>
  <c r="D225" i="2" a="1"/>
  <c r="D225" i="2" s="1"/>
  <c r="J225" i="2" s="1"/>
  <c r="D226" i="2" a="1"/>
  <c r="D226" i="2" s="1"/>
  <c r="D227" i="2" a="1"/>
  <c r="D227" i="2" s="1"/>
  <c r="J227" i="2" s="1"/>
  <c r="D228" i="2" a="1"/>
  <c r="D228" i="2" s="1"/>
  <c r="D229" i="2" a="1"/>
  <c r="D229" i="2"/>
  <c r="D230" i="2" a="1"/>
  <c r="D230" i="2" s="1"/>
  <c r="D231" i="2" a="1"/>
  <c r="D231" i="2" s="1"/>
  <c r="D232" i="2" a="1"/>
  <c r="D232" i="2" s="1"/>
  <c r="J232" i="2" s="1"/>
  <c r="D233" i="2" a="1"/>
  <c r="D233" i="2" s="1"/>
  <c r="J233" i="2" s="1"/>
  <c r="D234" i="2" a="1"/>
  <c r="D234" i="2"/>
  <c r="J234" i="2" s="1"/>
  <c r="D235" i="2" a="1"/>
  <c r="D235" i="2" s="1"/>
  <c r="J235" i="2" s="1"/>
  <c r="D236" i="2" a="1"/>
  <c r="D236" i="2" s="1"/>
  <c r="J236" i="2" s="1"/>
  <c r="D237" i="2" a="1"/>
  <c r="D237" i="2" s="1"/>
  <c r="J237" i="2" s="1"/>
  <c r="D238" i="2" a="1"/>
  <c r="D238" i="2"/>
  <c r="J238" i="2" s="1"/>
  <c r="D239" i="2" a="1"/>
  <c r="D239" i="2"/>
  <c r="D240" i="2" a="1"/>
  <c r="D240" i="2"/>
  <c r="D241" i="2" a="1"/>
  <c r="D241" i="2"/>
  <c r="D242" i="2" a="1"/>
  <c r="D242" i="2" s="1"/>
  <c r="J242" i="2" s="1"/>
  <c r="D243" i="2" a="1"/>
  <c r="D243" i="2" s="1"/>
  <c r="J243" i="2" s="1"/>
  <c r="D244" i="2" a="1"/>
  <c r="D244" i="2" s="1"/>
  <c r="J244" i="2" s="1"/>
  <c r="D245" i="2" a="1"/>
  <c r="D245" i="2"/>
  <c r="J245" i="2" s="1"/>
  <c r="D246" i="2" a="1"/>
  <c r="D246" i="2" s="1"/>
  <c r="J246" i="2" s="1"/>
  <c r="D247" i="2" a="1"/>
  <c r="D247" i="2"/>
  <c r="J247" i="2" s="1"/>
  <c r="D248" i="2" a="1"/>
  <c r="D248" i="2" s="1"/>
  <c r="J248" i="2" s="1"/>
  <c r="D249" i="2" a="1"/>
  <c r="D249" i="2" s="1"/>
  <c r="J249" i="2" s="1"/>
  <c r="D250" i="2" a="1"/>
  <c r="D250" i="2"/>
  <c r="D251" i="2" a="1"/>
  <c r="D251" i="2"/>
  <c r="J251" i="2" s="1"/>
  <c r="D252" i="2" a="1"/>
  <c r="D252" i="2" s="1"/>
  <c r="J252" i="2" s="1"/>
  <c r="D253" i="2" a="1"/>
  <c r="D253" i="2" s="1"/>
  <c r="D254" i="2" a="1"/>
  <c r="D254" i="2" s="1"/>
  <c r="D255" i="2" a="1"/>
  <c r="D255" i="2"/>
  <c r="D256" i="2" a="1"/>
  <c r="D256" i="2" s="1"/>
  <c r="J256" i="2" s="1"/>
  <c r="D257" i="2" a="1"/>
  <c r="D257" i="2" s="1"/>
  <c r="J257" i="2" s="1"/>
  <c r="D258" i="2" a="1"/>
  <c r="D258" i="2"/>
  <c r="J258" i="2" s="1"/>
  <c r="D259" i="2" a="1"/>
  <c r="D259" i="2" s="1"/>
  <c r="D260" i="2" a="1"/>
  <c r="D260" i="2" s="1"/>
  <c r="J260" i="2" s="1"/>
  <c r="D261" i="2" a="1"/>
  <c r="D261" i="2" s="1"/>
  <c r="J261" i="2" s="1"/>
  <c r="D262" i="2" a="1"/>
  <c r="D262" i="2" s="1"/>
  <c r="J262" i="2" s="1"/>
  <c r="D263" i="2" a="1"/>
  <c r="D263" i="2"/>
  <c r="D264" i="2" a="1"/>
  <c r="D264" i="2" s="1"/>
  <c r="D265" i="2" a="1"/>
  <c r="D265" i="2" s="1"/>
  <c r="J265" i="2" s="1"/>
  <c r="D266" i="2" a="1"/>
  <c r="D266" i="2" s="1"/>
  <c r="D267" i="2" a="1"/>
  <c r="D267" i="2"/>
  <c r="J267" i="2" s="1"/>
  <c r="D268" i="2" a="1"/>
  <c r="D268" i="2"/>
  <c r="J268" i="2" s="1"/>
  <c r="D269" i="2" a="1"/>
  <c r="D269" i="2" s="1"/>
  <c r="J269" i="2" s="1"/>
  <c r="D270" i="2" a="1"/>
  <c r="D270" i="2" s="1"/>
  <c r="J270" i="2" s="1"/>
  <c r="D271" i="2" a="1"/>
  <c r="D271" i="2" s="1"/>
  <c r="D272" i="2" a="1"/>
  <c r="D272" i="2" s="1"/>
  <c r="J272" i="2" s="1"/>
  <c r="D273" i="2" a="1"/>
  <c r="D273" i="2"/>
  <c r="J273" i="2" s="1"/>
  <c r="D274" i="2" a="1"/>
  <c r="D274" i="2" s="1"/>
  <c r="J274" i="2" s="1"/>
  <c r="D275" i="2" a="1"/>
  <c r="D275" i="2"/>
  <c r="J275" i="2" s="1"/>
  <c r="D276" i="2" a="1"/>
  <c r="D276" i="2"/>
  <c r="J276" i="2" s="1"/>
  <c r="D277" i="2" a="1"/>
  <c r="D277" i="2" s="1"/>
  <c r="D278" i="2" a="1"/>
  <c r="D278" i="2" s="1"/>
  <c r="J278" i="2" s="1"/>
  <c r="D279" i="2" a="1"/>
  <c r="D279" i="2" s="1"/>
  <c r="J279" i="2" s="1"/>
  <c r="D280" i="2" a="1"/>
  <c r="D280" i="2" s="1"/>
  <c r="J280" i="2" s="1"/>
  <c r="D281" i="2" a="1"/>
  <c r="D281" i="2"/>
  <c r="J281" i="2" s="1"/>
  <c r="D282" i="2" a="1"/>
  <c r="D282" i="2" s="1"/>
  <c r="J282" i="2" s="1"/>
  <c r="D283" i="2" a="1"/>
  <c r="D283" i="2" s="1"/>
  <c r="D284" i="2" a="1"/>
  <c r="D284" i="2" s="1"/>
  <c r="J284" i="2" s="1"/>
  <c r="D285" i="2" a="1"/>
  <c r="D285" i="2"/>
  <c r="J285" i="2" s="1"/>
  <c r="D286" i="2" a="1"/>
  <c r="D286" i="2" s="1"/>
  <c r="D287" i="2" a="1"/>
  <c r="D287" i="2" s="1"/>
  <c r="D288" i="2" a="1"/>
  <c r="D288" i="2"/>
  <c r="J288" i="2" s="1"/>
  <c r="D289" i="2" a="1"/>
  <c r="D289" i="2"/>
  <c r="J289" i="2" s="1"/>
  <c r="D290" i="2" a="1"/>
  <c r="D290" i="2" s="1"/>
  <c r="J290" i="2" s="1"/>
  <c r="D291" i="2" a="1"/>
  <c r="D291" i="2"/>
  <c r="D292" i="2" a="1"/>
  <c r="D292" i="2" s="1"/>
  <c r="J292" i="2" s="1"/>
  <c r="D293" i="2" a="1"/>
  <c r="D293" i="2" s="1"/>
  <c r="J293" i="2" s="1"/>
  <c r="D294" i="2" a="1"/>
  <c r="D294" i="2" s="1"/>
  <c r="J294" i="2" s="1"/>
  <c r="D295" i="2" a="1"/>
  <c r="D295" i="2"/>
  <c r="J295" i="2" s="1"/>
  <c r="D296" i="2" a="1"/>
  <c r="D296" i="2" s="1"/>
  <c r="J296" i="2" s="1"/>
  <c r="D297" i="2" a="1"/>
  <c r="D297" i="2" s="1"/>
  <c r="J297" i="2" s="1"/>
  <c r="D298" i="2" a="1"/>
  <c r="D298" i="2"/>
  <c r="J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/>
  <c r="J304" i="2" s="1"/>
  <c r="D305" i="2" a="1"/>
  <c r="D305" i="2" s="1"/>
  <c r="J305" i="2" s="1"/>
  <c r="D306" i="2" a="1"/>
  <c r="D306" i="2" s="1"/>
  <c r="J306" i="2" s="1"/>
  <c r="D307" i="2" a="1"/>
  <c r="D307" i="2" s="1"/>
  <c r="J307" i="2" s="1"/>
  <c r="D308" i="2" a="1"/>
  <c r="D308" i="2" s="1"/>
  <c r="J308" i="2" s="1"/>
  <c r="D309" i="2" a="1"/>
  <c r="D309" i="2" s="1"/>
  <c r="J309" i="2" s="1"/>
  <c r="D310" i="2" a="1"/>
  <c r="D310" i="2" s="1"/>
  <c r="D311" i="2" a="1"/>
  <c r="D311" i="2"/>
  <c r="J311" i="2" s="1"/>
  <c r="D312" i="2" a="1"/>
  <c r="D312" i="2" s="1"/>
  <c r="J312" i="2" s="1"/>
  <c r="D313" i="2" a="1"/>
  <c r="D313" i="2"/>
  <c r="J313" i="2" s="1"/>
  <c r="D314" i="2" a="1"/>
  <c r="D314" i="2" s="1"/>
  <c r="J314" i="2" s="1"/>
  <c r="D315" i="2" a="1"/>
  <c r="D315" i="2" s="1"/>
  <c r="J315" i="2" s="1"/>
  <c r="D316" i="2" a="1"/>
  <c r="D316" i="2" s="1"/>
  <c r="J316" i="2" s="1"/>
  <c r="D317" i="2" a="1"/>
  <c r="D317" i="2" s="1"/>
  <c r="J317" i="2" s="1"/>
  <c r="D318" i="2" a="1"/>
  <c r="D318" i="2" s="1"/>
  <c r="J318" i="2" s="1"/>
  <c r="D319" i="2" a="1"/>
  <c r="D319" i="2"/>
  <c r="D320" i="2" a="1"/>
  <c r="D320" i="2" s="1"/>
  <c r="J320" i="2" s="1"/>
  <c r="D321" i="2" a="1"/>
  <c r="D321" i="2" s="1"/>
  <c r="J321" i="2" s="1"/>
  <c r="D322" i="2" a="1"/>
  <c r="D322" i="2" s="1"/>
  <c r="J322" i="2" s="1"/>
  <c r="D323" i="2" a="1"/>
  <c r="D323" i="2" s="1"/>
  <c r="J323" i="2" s="1"/>
  <c r="D324" i="2" a="1"/>
  <c r="D324" i="2" s="1"/>
  <c r="J324" i="2" s="1"/>
  <c r="D325" i="2" a="1"/>
  <c r="D325" i="2"/>
  <c r="J325" i="2" s="1"/>
  <c r="D326" i="2" a="1"/>
  <c r="D326" i="2" s="1"/>
  <c r="J326" i="2" s="1"/>
  <c r="D327" i="2" a="1"/>
  <c r="D327" i="2"/>
  <c r="D328" i="2" a="1"/>
  <c r="D328" i="2"/>
  <c r="J328" i="2" s="1"/>
  <c r="D329" i="2" a="1"/>
  <c r="D329" i="2" s="1"/>
  <c r="J329" i="2" s="1"/>
  <c r="D330" i="2" a="1"/>
  <c r="D330" i="2" s="1"/>
  <c r="J330" i="2" s="1"/>
  <c r="D331" i="2" a="1"/>
  <c r="D331" i="2" s="1"/>
  <c r="D332" i="2" a="1"/>
  <c r="D332" i="2" s="1"/>
  <c r="J332" i="2" s="1"/>
  <c r="D333" i="2" a="1"/>
  <c r="D333" i="2"/>
  <c r="J333" i="2" s="1"/>
  <c r="D334" i="2" a="1"/>
  <c r="D334" i="2"/>
  <c r="J334" i="2" s="1"/>
  <c r="D335" i="2" a="1"/>
  <c r="D335" i="2"/>
  <c r="D336" i="2" a="1"/>
  <c r="D336" i="2" s="1"/>
  <c r="J336" i="2" s="1"/>
  <c r="D337" i="2" a="1"/>
  <c r="D337" i="2" s="1"/>
  <c r="J337" i="2" s="1"/>
  <c r="D338" i="2" a="1"/>
  <c r="D338" i="2" s="1"/>
  <c r="J338" i="2" s="1"/>
  <c r="D339" i="2" a="1"/>
  <c r="D339" i="2" s="1"/>
  <c r="D340" i="2" a="1"/>
  <c r="D340" i="2"/>
  <c r="J340" i="2" s="1"/>
  <c r="D341" i="2" a="1"/>
  <c r="D341" i="2"/>
  <c r="J341" i="2" s="1"/>
  <c r="D342" i="2" a="1"/>
  <c r="D342" i="2" s="1"/>
  <c r="J342" i="2" s="1"/>
  <c r="D343" i="2" a="1"/>
  <c r="D343" i="2" s="1"/>
  <c r="J343" i="2" s="1"/>
  <c r="D344" i="2" a="1"/>
  <c r="D344" i="2" s="1"/>
  <c r="J344" i="2" s="1"/>
  <c r="D345" i="2" a="1"/>
  <c r="D345" i="2" s="1"/>
  <c r="J345" i="2" s="1"/>
  <c r="D346" i="2" a="1"/>
  <c r="D346" i="2" s="1"/>
  <c r="D347" i="2" a="1"/>
  <c r="D347" i="2" s="1"/>
  <c r="D348" i="2" a="1"/>
  <c r="D348" i="2"/>
  <c r="D349" i="2" a="1"/>
  <c r="D349" i="2" s="1"/>
  <c r="D350" i="2" a="1"/>
  <c r="D350" i="2" s="1"/>
  <c r="D351" i="2" a="1"/>
  <c r="D351" i="2" s="1"/>
  <c r="D352" i="2" a="1"/>
  <c r="D352" i="2"/>
  <c r="J352" i="2" s="1"/>
  <c r="D353" i="2" a="1"/>
  <c r="D353" i="2"/>
  <c r="J353" i="2" s="1"/>
  <c r="D354" i="2" a="1"/>
  <c r="D354" i="2"/>
  <c r="J354" i="2" s="1"/>
  <c r="D355" i="2" a="1"/>
  <c r="D355" i="2" s="1"/>
  <c r="J355" i="2" s="1"/>
  <c r="D356" i="2" a="1"/>
  <c r="D356" i="2" s="1"/>
  <c r="J356" i="2" s="1"/>
  <c r="D357" i="2" a="1"/>
  <c r="D357" i="2"/>
  <c r="J357" i="2" s="1"/>
  <c r="D358" i="2" a="1"/>
  <c r="D358" i="2"/>
  <c r="J358" i="2" s="1"/>
  <c r="D359" i="2" a="1"/>
  <c r="D359" i="2"/>
  <c r="J359" i="2" s="1"/>
  <c r="D360" i="2" a="1"/>
  <c r="D360" i="2"/>
  <c r="D361" i="2" a="1"/>
  <c r="D361" i="2"/>
  <c r="D362" i="2" a="1"/>
  <c r="D362" i="2" s="1"/>
  <c r="D363" i="2" a="1"/>
  <c r="D363" i="2"/>
  <c r="D364" i="2" a="1"/>
  <c r="D364" i="2" s="1"/>
  <c r="J364" i="2" s="1"/>
  <c r="D365" i="2" a="1"/>
  <c r="D365" i="2"/>
  <c r="J365" i="2" s="1"/>
  <c r="D366" i="2" a="1"/>
  <c r="D366" i="2"/>
  <c r="J366" i="2" s="1"/>
  <c r="D367" i="2" a="1"/>
  <c r="D367" i="2"/>
  <c r="D368" i="2" a="1"/>
  <c r="D368" i="2" s="1"/>
  <c r="J368" i="2" s="1"/>
  <c r="D369" i="2" a="1"/>
  <c r="D369" i="2" s="1"/>
  <c r="J369" i="2" s="1"/>
  <c r="D370" i="2" a="1"/>
  <c r="D370" i="2" s="1"/>
  <c r="D371" i="2" a="1"/>
  <c r="D371" i="2"/>
  <c r="D372" i="2" a="1"/>
  <c r="D372" i="2" s="1"/>
  <c r="J372" i="2" s="1"/>
  <c r="D373" i="2" a="1"/>
  <c r="D373" i="2"/>
  <c r="D374" i="2" a="1"/>
  <c r="D374" i="2" s="1"/>
  <c r="D375" i="2" a="1"/>
  <c r="D375" i="2" s="1"/>
  <c r="D376" i="2" a="1"/>
  <c r="D376" i="2" s="1"/>
  <c r="J376" i="2" s="1"/>
  <c r="D377" i="2" a="1"/>
  <c r="D377" i="2" s="1"/>
  <c r="J377" i="2" s="1"/>
  <c r="D378" i="2" a="1"/>
  <c r="D378" i="2" s="1"/>
  <c r="J378" i="2" s="1"/>
  <c r="D379" i="2" a="1"/>
  <c r="D379" i="2"/>
  <c r="J379" i="2" s="1"/>
  <c r="D380" i="2" a="1"/>
  <c r="D380" i="2" s="1"/>
  <c r="J380" i="2" s="1"/>
  <c r="D381" i="2" a="1"/>
  <c r="D381" i="2"/>
  <c r="J381" i="2" s="1"/>
  <c r="D382" i="2" a="1"/>
  <c r="D382" i="2" s="1"/>
  <c r="J382" i="2" s="1"/>
  <c r="D383" i="2" a="1"/>
  <c r="D383" i="2" s="1"/>
  <c r="D384" i="2" a="1"/>
  <c r="D384" i="2" s="1"/>
  <c r="D385" i="2" a="1"/>
  <c r="D385" i="2" s="1"/>
  <c r="J385" i="2" s="1"/>
  <c r="D386" i="2" a="1"/>
  <c r="D386" i="2" s="1"/>
  <c r="D387" i="2" a="1"/>
  <c r="D387" i="2"/>
  <c r="D388" i="2" a="1"/>
  <c r="D388" i="2" s="1"/>
  <c r="J388" i="2" s="1"/>
  <c r="D389" i="2" a="1"/>
  <c r="D389" i="2" s="1"/>
  <c r="J389" i="2" s="1"/>
  <c r="D390" i="2" a="1"/>
  <c r="D390" i="2" s="1"/>
  <c r="J390" i="2" s="1"/>
  <c r="D391" i="2" a="1"/>
  <c r="D391" i="2"/>
  <c r="D392" i="2" a="1"/>
  <c r="D392" i="2" s="1"/>
  <c r="J392" i="2" s="1"/>
  <c r="D393" i="2" a="1"/>
  <c r="D393" i="2"/>
  <c r="J393" i="2" s="1"/>
  <c r="D394" i="2" a="1"/>
  <c r="D394" i="2"/>
  <c r="D395" i="2" a="1"/>
  <c r="D395" i="2" s="1"/>
  <c r="D396" i="2" a="1"/>
  <c r="D396" i="2"/>
  <c r="J396" i="2" s="1"/>
  <c r="D397" i="2" a="1"/>
  <c r="D397" i="2"/>
  <c r="J397" i="2" s="1"/>
  <c r="D398" i="2" a="1"/>
  <c r="D398" i="2" s="1"/>
  <c r="J398" i="2" s="1"/>
  <c r="D399" i="2" a="1"/>
  <c r="D399" i="2" s="1"/>
  <c r="J399" i="2" s="1"/>
  <c r="D400" i="2" a="1"/>
  <c r="D400" i="2"/>
  <c r="J400" i="2" s="1"/>
  <c r="D401" i="2" a="1"/>
  <c r="D401" i="2" s="1"/>
  <c r="J401" i="2" s="1"/>
  <c r="D402" i="2" a="1"/>
  <c r="D402" i="2"/>
  <c r="J402" i="2" s="1"/>
  <c r="D403" i="2" a="1"/>
  <c r="D403" i="2" s="1"/>
  <c r="D404" i="2" a="1"/>
  <c r="D404" i="2" s="1"/>
  <c r="J404" i="2" s="1"/>
  <c r="D405" i="2" a="1"/>
  <c r="D405" i="2"/>
  <c r="J405" i="2" s="1"/>
  <c r="D406" i="2" a="1"/>
  <c r="D406" i="2" s="1"/>
  <c r="J406" i="2" s="1"/>
  <c r="D407" i="2" a="1"/>
  <c r="D407" i="2" s="1"/>
  <c r="J407" i="2" s="1"/>
  <c r="D408" i="2" a="1"/>
  <c r="D408" i="2" s="1"/>
  <c r="J408" i="2" s="1"/>
  <c r="D409" i="2" a="1"/>
  <c r="D409" i="2"/>
  <c r="D410" i="2" a="1"/>
  <c r="D410" i="2" s="1"/>
  <c r="J410" i="2" s="1"/>
  <c r="D411" i="2" a="1"/>
  <c r="D411" i="2"/>
  <c r="D412" i="2" a="1"/>
  <c r="D412" i="2"/>
  <c r="J412" i="2" s="1"/>
  <c r="D413" i="2" a="1"/>
  <c r="D413" i="2" s="1"/>
  <c r="J413" i="2" s="1"/>
  <c r="D414" i="2" a="1"/>
  <c r="D414" i="2" s="1"/>
  <c r="J414" i="2" s="1"/>
  <c r="D415" i="2" a="1"/>
  <c r="D415" i="2"/>
  <c r="D416" i="2" a="1"/>
  <c r="D416" i="2" s="1"/>
  <c r="J416" i="2" s="1"/>
  <c r="D417" i="2" a="1"/>
  <c r="D417" i="2"/>
  <c r="J417" i="2" s="1"/>
  <c r="D418" i="2" a="1"/>
  <c r="D418" i="2" s="1"/>
  <c r="J418" i="2" s="1"/>
  <c r="D419" i="2" a="1"/>
  <c r="D419" i="2" s="1"/>
  <c r="J419" i="2" s="1"/>
  <c r="D420" i="2" a="1"/>
  <c r="D420" i="2" s="1"/>
  <c r="J420" i="2" s="1"/>
  <c r="D421" i="2" a="1"/>
  <c r="D421" i="2" s="1"/>
  <c r="J421" i="2" s="1"/>
  <c r="D422" i="2" a="1"/>
  <c r="D422" i="2" s="1"/>
  <c r="J422" i="2" s="1"/>
  <c r="D423" i="2" a="1"/>
  <c r="D423" i="2" s="1"/>
  <c r="J423" i="2" s="1"/>
  <c r="D424" i="2" a="1"/>
  <c r="D424" i="2"/>
  <c r="J424" i="2" s="1"/>
  <c r="D425" i="2" a="1"/>
  <c r="D425" i="2"/>
  <c r="J425" i="2" s="1"/>
  <c r="D426" i="2" a="1"/>
  <c r="D426" i="2" s="1"/>
  <c r="J426" i="2" s="1"/>
  <c r="D427" i="2" a="1"/>
  <c r="D427" i="2" s="1"/>
  <c r="J427" i="2" s="1"/>
  <c r="D428" i="2" a="1"/>
  <c r="D428" i="2" s="1"/>
  <c r="J428" i="2" s="1"/>
  <c r="D429" i="2" a="1"/>
  <c r="D429" i="2" s="1"/>
  <c r="J429" i="2" s="1"/>
  <c r="D430" i="2" a="1"/>
  <c r="D430" i="2" s="1"/>
  <c r="D431" i="2" a="1"/>
  <c r="D431" i="2"/>
  <c r="D432" i="2" a="1"/>
  <c r="D432" i="2"/>
  <c r="D433" i="2" a="1"/>
  <c r="D433" i="2" s="1"/>
  <c r="D434" i="2" a="1"/>
  <c r="D434" i="2" s="1"/>
  <c r="D435" i="2" a="1"/>
  <c r="D435" i="2"/>
  <c r="J435" i="2" s="1"/>
  <c r="D436" i="2" a="1"/>
  <c r="D436" i="2" s="1"/>
  <c r="J436" i="2" s="1"/>
  <c r="D437" i="2" a="1"/>
  <c r="D437" i="2" s="1"/>
  <c r="J437" i="2" s="1"/>
  <c r="D438" i="2" a="1"/>
  <c r="D438" i="2" s="1"/>
  <c r="J438" i="2" s="1"/>
  <c r="D439" i="2" a="1"/>
  <c r="D439" i="2"/>
  <c r="J439" i="2" s="1"/>
  <c r="D440" i="2" a="1"/>
  <c r="D440" i="2" s="1"/>
  <c r="J440" i="2" s="1"/>
  <c r="D441" i="2" a="1"/>
  <c r="D441" i="2" s="1"/>
  <c r="J441" i="2" s="1"/>
  <c r="D442" i="2" a="1"/>
  <c r="D442" i="2" s="1"/>
  <c r="J442" i="2" s="1"/>
  <c r="D443" i="2" a="1"/>
  <c r="D443" i="2" s="1"/>
  <c r="J443" i="2" s="1"/>
  <c r="D444" i="2" a="1"/>
  <c r="D444" i="2" s="1"/>
  <c r="D445" i="2" a="1"/>
  <c r="D445" i="2" s="1"/>
  <c r="J445" i="2" s="1"/>
  <c r="D446" i="2" a="1"/>
  <c r="D446" i="2" s="1"/>
  <c r="J446" i="2" s="1"/>
  <c r="D447" i="2" a="1"/>
  <c r="D447" i="2" s="1"/>
  <c r="J447" i="2" s="1"/>
  <c r="D448" i="2" a="1"/>
  <c r="D448" i="2" s="1"/>
  <c r="J448" i="2" s="1"/>
  <c r="D449" i="2" a="1"/>
  <c r="D449" i="2" s="1"/>
  <c r="J449" i="2" s="1"/>
  <c r="D450" i="2" a="1"/>
  <c r="D450" i="2"/>
  <c r="J450" i="2" s="1"/>
  <c r="D451" i="2" a="1"/>
  <c r="D451" i="2"/>
  <c r="D452" i="2" a="1"/>
  <c r="D452" i="2" s="1"/>
  <c r="J452" i="2" s="1"/>
  <c r="D453" i="2" a="1"/>
  <c r="D453" i="2" s="1"/>
  <c r="J453" i="2" s="1"/>
  <c r="D454" i="2" a="1"/>
  <c r="D454" i="2" s="1"/>
  <c r="D455" i="2" a="1"/>
  <c r="D455" i="2"/>
  <c r="J455" i="2" s="1"/>
  <c r="D456" i="2" a="1"/>
  <c r="D456" i="2" s="1"/>
  <c r="J456" i="2" s="1"/>
  <c r="D457" i="2" a="1"/>
  <c r="D457" i="2"/>
  <c r="J457" i="2" s="1"/>
  <c r="D458" i="2" a="1"/>
  <c r="D458" i="2" s="1"/>
  <c r="J458" i="2" s="1"/>
  <c r="D459" i="2" a="1"/>
  <c r="D459" i="2" s="1"/>
  <c r="J459" i="2" s="1"/>
  <c r="D460" i="2" a="1"/>
  <c r="D460" i="2" s="1"/>
  <c r="J460" i="2" s="1"/>
  <c r="D461" i="2" a="1"/>
  <c r="D461" i="2" s="1"/>
  <c r="J461" i="2" s="1"/>
  <c r="D462" i="2" a="1"/>
  <c r="D462" i="2" s="1"/>
  <c r="J462" i="2" s="1"/>
  <c r="D463" i="2" a="1"/>
  <c r="D463" i="2" s="1"/>
  <c r="D464" i="2" a="1"/>
  <c r="D464" i="2" s="1"/>
  <c r="J464" i="2" s="1"/>
  <c r="D465" i="2" a="1"/>
  <c r="D465" i="2"/>
  <c r="J465" i="2" s="1"/>
  <c r="D466" i="2" a="1"/>
  <c r="D466" i="2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/>
  <c r="J472" i="2" s="1"/>
  <c r="D473" i="2" a="1"/>
  <c r="D473" i="2" s="1"/>
  <c r="J473" i="2" s="1"/>
  <c r="D474" i="2" a="1"/>
  <c r="D474" i="2" s="1"/>
  <c r="J474" i="2" s="1"/>
  <c r="D475" i="2" a="1"/>
  <c r="D475" i="2" s="1"/>
  <c r="J475" i="2" s="1"/>
  <c r="D476" i="2" a="1"/>
  <c r="D476" i="2" s="1"/>
  <c r="J476" i="2" s="1"/>
  <c r="D477" i="2" a="1"/>
  <c r="D477" i="2" s="1"/>
  <c r="J477" i="2" s="1"/>
  <c r="D478" i="2" a="1"/>
  <c r="D478" i="2" s="1"/>
  <c r="D479" i="2" a="1"/>
  <c r="D479" i="2" s="1"/>
  <c r="J479" i="2" s="1"/>
  <c r="D480" i="2" a="1"/>
  <c r="D480" i="2" s="1"/>
  <c r="J480" i="2" s="1"/>
  <c r="D481" i="2" a="1"/>
  <c r="D481" i="2"/>
  <c r="D482" i="2" a="1"/>
  <c r="D482" i="2" s="1"/>
  <c r="J482" i="2" s="1"/>
  <c r="D483" i="2" a="1"/>
  <c r="D483" i="2"/>
  <c r="J483" i="2" s="1"/>
  <c r="D484" i="2" a="1"/>
  <c r="D484" i="2" s="1"/>
  <c r="J484" i="2" s="1"/>
  <c r="D485" i="2" a="1"/>
  <c r="D485" i="2" s="1"/>
  <c r="J485" i="2" s="1"/>
  <c r="D486" i="2" a="1"/>
  <c r="D486" i="2" s="1"/>
  <c r="J486" i="2" s="1"/>
  <c r="D487" i="2" a="1"/>
  <c r="D487" i="2"/>
  <c r="D488" i="2" a="1"/>
  <c r="D488" i="2" s="1"/>
  <c r="J488" i="2" s="1"/>
  <c r="D489" i="2" a="1"/>
  <c r="D489" i="2" s="1"/>
  <c r="J489" i="2" s="1"/>
  <c r="D490" i="2" a="1"/>
  <c r="D490" i="2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J496" i="2" s="1"/>
  <c r="D497" i="2" a="1"/>
  <c r="D497" i="2"/>
  <c r="J497" i="2" s="1"/>
  <c r="D498" i="2" a="1"/>
  <c r="D498" i="2"/>
  <c r="J498" i="2" s="1"/>
  <c r="D499" i="2" a="1"/>
  <c r="D499" i="2" s="1"/>
  <c r="J499" i="2" s="1"/>
  <c r="D500" i="2" a="1"/>
  <c r="D500" i="2" s="1"/>
  <c r="J500" i="2" s="1"/>
  <c r="D501" i="2" a="1"/>
  <c r="D501" i="2" s="1"/>
  <c r="J501" i="2" s="1"/>
  <c r="D502" i="2" a="1"/>
  <c r="D502" i="2"/>
  <c r="J502" i="2" s="1"/>
  <c r="D503" i="2" a="1"/>
  <c r="D503" i="2"/>
  <c r="J503" i="2" s="1"/>
  <c r="D504" i="2" a="1"/>
  <c r="D504" i="2"/>
  <c r="D505" i="2" a="1"/>
  <c r="D505" i="2" s="1"/>
  <c r="D506" i="2" a="1"/>
  <c r="D506" i="2" s="1"/>
  <c r="D507" i="2" a="1"/>
  <c r="D507" i="2" s="1"/>
  <c r="D508" i="2" a="1"/>
  <c r="D508" i="2" s="1"/>
  <c r="J508" i="2" s="1"/>
  <c r="D509" i="2" a="1"/>
  <c r="D509" i="2" s="1"/>
  <c r="J509" i="2" s="1"/>
  <c r="D510" i="2" a="1"/>
  <c r="D510" i="2"/>
  <c r="J510" i="2" s="1"/>
  <c r="D511" i="2" a="1"/>
  <c r="D511" i="2"/>
  <c r="J511" i="2" s="1"/>
  <c r="D512" i="2" a="1"/>
  <c r="D512" i="2" s="1"/>
  <c r="J512" i="2" s="1"/>
  <c r="D513" i="2" a="1"/>
  <c r="D513" i="2"/>
  <c r="J513" i="2" s="1"/>
  <c r="D514" i="2" a="1"/>
  <c r="D514" i="2" s="1"/>
  <c r="D515" i="2" a="1"/>
  <c r="D515" i="2" s="1"/>
  <c r="D516" i="2" a="1"/>
  <c r="D516" i="2" s="1"/>
  <c r="D517" i="2" a="1"/>
  <c r="D517" i="2" s="1"/>
  <c r="D518" i="2" a="1"/>
  <c r="D518" i="2" s="1"/>
  <c r="J518" i="2" s="1"/>
  <c r="D519" i="2" a="1"/>
  <c r="D519" i="2"/>
  <c r="J519" i="2" s="1"/>
  <c r="D520" i="2" a="1"/>
  <c r="D520" i="2" s="1"/>
  <c r="J520" i="2" s="1"/>
  <c r="D521" i="2" a="1"/>
  <c r="D521" i="2"/>
  <c r="J521" i="2" s="1"/>
  <c r="D522" i="2" a="1"/>
  <c r="D522" i="2"/>
  <c r="J522" i="2" s="1"/>
  <c r="D523" i="2" a="1"/>
  <c r="D523" i="2" s="1"/>
  <c r="D524" i="2" a="1"/>
  <c r="D524" i="2" s="1"/>
  <c r="J524" i="2" s="1"/>
  <c r="D525" i="2" a="1"/>
  <c r="D525" i="2" s="1"/>
  <c r="J525" i="2" s="1"/>
  <c r="D526" i="2" a="1"/>
  <c r="D526" i="2" s="1"/>
  <c r="J526" i="2" s="1"/>
  <c r="D527" i="2" a="1"/>
  <c r="D527" i="2" s="1"/>
  <c r="J527" i="2" s="1"/>
  <c r="D528" i="2" a="1"/>
  <c r="D528" i="2"/>
  <c r="J528" i="2" s="1"/>
  <c r="D529" i="2" a="1"/>
  <c r="D529" i="2"/>
  <c r="J529" i="2" s="1"/>
  <c r="D530" i="2" a="1"/>
  <c r="D530" i="2" s="1"/>
  <c r="J530" i="2" s="1"/>
  <c r="D531" i="2" a="1"/>
  <c r="D531" i="2" s="1"/>
  <c r="D532" i="2" a="1"/>
  <c r="D532" i="2" s="1"/>
  <c r="J532" i="2" s="1"/>
  <c r="D533" i="2" a="1"/>
  <c r="D533" i="2" s="1"/>
  <c r="J533" i="2" s="1"/>
  <c r="D534" i="2" a="1"/>
  <c r="D534" i="2"/>
  <c r="J534" i="2" s="1"/>
  <c r="D535" i="2" a="1"/>
  <c r="D535" i="2" s="1"/>
  <c r="D536" i="2" a="1"/>
  <c r="D536" i="2" s="1"/>
  <c r="J536" i="2" s="1"/>
  <c r="D537" i="2" a="1"/>
  <c r="D537" i="2" s="1"/>
  <c r="J537" i="2" s="1"/>
  <c r="D538" i="2" a="1"/>
  <c r="D538" i="2" s="1"/>
  <c r="D539" i="2" a="1"/>
  <c r="D539" i="2" s="1"/>
  <c r="D540" i="2" a="1"/>
  <c r="D540" i="2" s="1"/>
  <c r="J540" i="2" s="1"/>
  <c r="D541" i="2" a="1"/>
  <c r="D541" i="2" s="1"/>
  <c r="J541" i="2" s="1"/>
  <c r="D542" i="2" a="1"/>
  <c r="D542" i="2" s="1"/>
  <c r="D543" i="2" a="1"/>
  <c r="D543" i="2"/>
  <c r="D544" i="2" a="1"/>
  <c r="D544" i="2" s="1"/>
  <c r="J544" i="2" s="1"/>
  <c r="D545" i="2" a="1"/>
  <c r="D545" i="2"/>
  <c r="J545" i="2" s="1"/>
  <c r="D546" i="2" a="1"/>
  <c r="D546" i="2" s="1"/>
  <c r="J546" i="2" s="1"/>
  <c r="D547" i="2" a="1"/>
  <c r="D547" i="2" s="1"/>
  <c r="J547" i="2" s="1"/>
  <c r="D548" i="2" a="1"/>
  <c r="D548" i="2" s="1"/>
  <c r="J548" i="2" s="1"/>
  <c r="D549" i="2" a="1"/>
  <c r="D549" i="2"/>
  <c r="J549" i="2" s="1"/>
  <c r="D550" i="2" a="1"/>
  <c r="D550" i="2" s="1"/>
  <c r="D551" i="2" a="1"/>
  <c r="D551" i="2"/>
  <c r="D552" i="2" a="1"/>
  <c r="D552" i="2"/>
  <c r="D553" i="2" a="1"/>
  <c r="D553" i="2" s="1"/>
  <c r="D554" i="2" a="1"/>
  <c r="D554" i="2" s="1"/>
  <c r="D555" i="2" a="1"/>
  <c r="D555" i="2" s="1"/>
  <c r="D556" i="2" a="1"/>
  <c r="D556" i="2" s="1"/>
  <c r="J556" i="2" s="1"/>
  <c r="D557" i="2" a="1"/>
  <c r="D557" i="2"/>
  <c r="J557" i="2" s="1"/>
  <c r="D558" i="2" a="1"/>
  <c r="D558" i="2" s="1"/>
  <c r="J558" i="2" s="1"/>
  <c r="D559" i="2" a="1"/>
  <c r="D559" i="2" s="1"/>
  <c r="D560" i="2" a="1"/>
  <c r="D560" i="2" s="1"/>
  <c r="J560" i="2" s="1"/>
  <c r="D561" i="2" a="1"/>
  <c r="D561" i="2" s="1"/>
  <c r="J561" i="2" s="1"/>
  <c r="D562" i="2" a="1"/>
  <c r="D562" i="2" s="1"/>
  <c r="J562" i="2" s="1"/>
  <c r="D563" i="2" a="1"/>
  <c r="D563" i="2" s="1"/>
  <c r="D564" i="2" a="1"/>
  <c r="D564" i="2" s="1"/>
  <c r="J564" i="2" s="1"/>
  <c r="D565" i="2" a="1"/>
  <c r="D565" i="2"/>
  <c r="J565" i="2" s="1"/>
  <c r="D566" i="2" a="1"/>
  <c r="D566" i="2" s="1"/>
  <c r="J566" i="2" s="1"/>
  <c r="D567" i="2" a="1"/>
  <c r="D567" i="2" s="1"/>
  <c r="J567" i="2" s="1"/>
  <c r="D568" i="2" a="1"/>
  <c r="D568" i="2" s="1"/>
  <c r="J568" i="2" s="1"/>
  <c r="D569" i="2" a="1"/>
  <c r="D569" i="2" s="1"/>
  <c r="J569" i="2" s="1"/>
  <c r="D570" i="2" a="1"/>
  <c r="D570" i="2"/>
  <c r="J570" i="2" s="1"/>
  <c r="D571" i="2" a="1"/>
  <c r="D571" i="2" s="1"/>
  <c r="D572" i="2" a="1"/>
  <c r="D572" i="2" s="1"/>
  <c r="J572" i="2" s="1"/>
  <c r="D573" i="2" a="1"/>
  <c r="D573" i="2" s="1"/>
  <c r="J573" i="2" s="1"/>
  <c r="D574" i="2" a="1"/>
  <c r="D574" i="2" s="1"/>
  <c r="D575" i="2" a="1"/>
  <c r="D575" i="2"/>
  <c r="D576" i="2" a="1"/>
  <c r="D576" i="2"/>
  <c r="D577" i="2" a="1"/>
  <c r="D577" i="2" s="1"/>
  <c r="D578" i="2" a="1"/>
  <c r="D578" i="2" s="1"/>
  <c r="D579" i="2" a="1"/>
  <c r="D579" i="2" s="1"/>
  <c r="J579" i="2" s="1"/>
  <c r="D580" i="2" a="1"/>
  <c r="D580" i="2" s="1"/>
  <c r="J580" i="2" s="1"/>
  <c r="D581" i="2" a="1"/>
  <c r="D581" i="2" s="1"/>
  <c r="J581" i="2" s="1"/>
  <c r="D582" i="2" a="1"/>
  <c r="D582" i="2"/>
  <c r="J582" i="2" s="1"/>
  <c r="I233" i="2"/>
  <c r="I232" i="2"/>
  <c r="I235" i="2"/>
  <c r="I236" i="2"/>
  <c r="I234" i="2"/>
  <c r="I238" i="2"/>
  <c r="I237" i="2"/>
  <c r="I240" i="2"/>
  <c r="I241" i="2"/>
  <c r="I239" i="2"/>
  <c r="I243" i="2"/>
  <c r="I242" i="2"/>
  <c r="I245" i="2"/>
  <c r="I244" i="2"/>
  <c r="I247" i="2"/>
  <c r="I246" i="2"/>
  <c r="I249" i="2"/>
  <c r="I248" i="2"/>
  <c r="I251" i="2"/>
  <c r="I252" i="2"/>
  <c r="I250" i="2"/>
  <c r="I253" i="2"/>
  <c r="I254" i="2"/>
  <c r="I131" i="2"/>
  <c r="I133" i="2"/>
  <c r="I132" i="2"/>
  <c r="I134" i="2"/>
  <c r="I136" i="2"/>
  <c r="I135" i="2"/>
  <c r="I138" i="2"/>
  <c r="I137" i="2"/>
  <c r="I341" i="2"/>
  <c r="I104" i="2"/>
  <c r="I106" i="2"/>
  <c r="I105" i="2"/>
  <c r="I108" i="2"/>
  <c r="I109" i="2"/>
  <c r="I107" i="2"/>
  <c r="I110" i="2"/>
  <c r="I111" i="2"/>
  <c r="I113" i="2"/>
  <c r="I114" i="2"/>
  <c r="I112" i="2"/>
  <c r="I115" i="2"/>
  <c r="I116" i="2"/>
  <c r="I117" i="2"/>
  <c r="I118" i="2"/>
  <c r="I119" i="2"/>
  <c r="I120" i="2"/>
  <c r="I121" i="2"/>
  <c r="I122" i="2"/>
  <c r="I123" i="2"/>
  <c r="I124" i="2"/>
  <c r="I418" i="2"/>
  <c r="I419" i="2"/>
  <c r="I426" i="2"/>
  <c r="I425" i="2"/>
  <c r="I420" i="2"/>
  <c r="I421" i="2"/>
  <c r="I423" i="2"/>
  <c r="I424" i="2"/>
  <c r="I422" i="2"/>
  <c r="I427" i="2"/>
  <c r="I428" i="2"/>
  <c r="I430" i="2"/>
  <c r="I429" i="2"/>
  <c r="I256" i="2"/>
  <c r="I257" i="2"/>
  <c r="I255" i="2"/>
  <c r="I259" i="2"/>
  <c r="I260" i="2"/>
  <c r="I258" i="2"/>
  <c r="I262" i="2"/>
  <c r="I263" i="2"/>
  <c r="I261" i="2"/>
  <c r="I265" i="2"/>
  <c r="I266" i="2"/>
  <c r="I264" i="2"/>
  <c r="I268" i="2"/>
  <c r="I267" i="2"/>
  <c r="I269" i="2"/>
  <c r="I270" i="2"/>
  <c r="I271" i="2"/>
  <c r="I272" i="2"/>
  <c r="I274" i="2"/>
  <c r="I273" i="2"/>
  <c r="I276" i="2"/>
  <c r="I275" i="2"/>
  <c r="I277" i="2"/>
  <c r="I278" i="2"/>
  <c r="I279" i="2"/>
  <c r="I280" i="2"/>
  <c r="I281" i="2"/>
  <c r="I282" i="2"/>
  <c r="I284" i="2"/>
  <c r="I283" i="2"/>
  <c r="I285" i="2"/>
  <c r="I287" i="2"/>
  <c r="I286" i="2"/>
  <c r="I288" i="2"/>
  <c r="I290" i="2"/>
  <c r="I291" i="2"/>
  <c r="I289" i="2"/>
  <c r="I292" i="2"/>
  <c r="I293" i="2"/>
  <c r="I294" i="2"/>
  <c r="I296" i="2"/>
  <c r="I297" i="2"/>
  <c r="I295" i="2"/>
  <c r="I298" i="2"/>
  <c r="I300" i="2"/>
  <c r="I301" i="2"/>
  <c r="I299" i="2"/>
  <c r="I303" i="2"/>
  <c r="I302" i="2"/>
  <c r="I304" i="2"/>
  <c r="I306" i="2"/>
  <c r="I305" i="2"/>
  <c r="I307" i="2"/>
  <c r="I309" i="2"/>
  <c r="I308" i="2"/>
  <c r="I311" i="2"/>
  <c r="I312" i="2"/>
  <c r="I310" i="2"/>
  <c r="I313" i="2"/>
  <c r="I314" i="2"/>
  <c r="I315" i="2"/>
  <c r="I316" i="2"/>
  <c r="I317" i="2"/>
  <c r="I319" i="2"/>
  <c r="I318" i="2"/>
  <c r="I320" i="2"/>
  <c r="I321" i="2"/>
  <c r="I322" i="2"/>
  <c r="I323" i="2"/>
  <c r="I326" i="2"/>
  <c r="I325" i="2"/>
  <c r="I324" i="2"/>
  <c r="I328" i="2"/>
  <c r="I327" i="2"/>
  <c r="I329" i="2"/>
  <c r="I330" i="2"/>
  <c r="I331" i="2"/>
  <c r="I333" i="2"/>
  <c r="I334" i="2"/>
  <c r="I332" i="2"/>
  <c r="I335" i="2"/>
  <c r="I336" i="2"/>
  <c r="I337" i="2"/>
  <c r="I338" i="2"/>
  <c r="I339" i="2"/>
  <c r="I340" i="2"/>
  <c r="I3" i="2"/>
  <c r="I4" i="2"/>
  <c r="I2" i="2"/>
  <c r="I6" i="2"/>
  <c r="I5" i="2"/>
  <c r="I8" i="2"/>
  <c r="I9" i="2"/>
  <c r="I7" i="2"/>
  <c r="I11" i="2"/>
  <c r="I10" i="2"/>
  <c r="I13" i="2"/>
  <c r="I12" i="2"/>
  <c r="I15" i="2"/>
  <c r="I14" i="2"/>
  <c r="I16" i="2"/>
  <c r="I18" i="2"/>
  <c r="I17" i="2"/>
  <c r="I19" i="2"/>
  <c r="I20" i="2"/>
  <c r="I435" i="2"/>
  <c r="I434" i="2"/>
  <c r="I436" i="2"/>
  <c r="I437" i="2"/>
  <c r="I438" i="2"/>
  <c r="I439" i="2"/>
  <c r="I441" i="2"/>
  <c r="I440" i="2"/>
  <c r="I442" i="2"/>
  <c r="I21" i="2"/>
  <c r="I23" i="2"/>
  <c r="I22" i="2"/>
  <c r="I24" i="2"/>
  <c r="I26" i="2"/>
  <c r="I25" i="2"/>
  <c r="I28" i="2"/>
  <c r="I29" i="2"/>
  <c r="I27" i="2"/>
  <c r="I31" i="2"/>
  <c r="I30" i="2"/>
  <c r="I33" i="2"/>
  <c r="I34" i="2"/>
  <c r="I32" i="2"/>
  <c r="I36" i="2"/>
  <c r="I35" i="2"/>
  <c r="I37" i="2"/>
  <c r="I39" i="2"/>
  <c r="I38" i="2"/>
  <c r="I41" i="2"/>
  <c r="I40" i="2"/>
  <c r="I43" i="2"/>
  <c r="I42" i="2"/>
  <c r="I45" i="2"/>
  <c r="I44" i="2"/>
  <c r="I47" i="2"/>
  <c r="I46" i="2"/>
  <c r="I49" i="2"/>
  <c r="I50" i="2"/>
  <c r="I48" i="2"/>
  <c r="I52" i="2"/>
  <c r="I51" i="2"/>
  <c r="I54" i="2"/>
  <c r="I53" i="2"/>
  <c r="I56" i="2"/>
  <c r="I55" i="2"/>
  <c r="I58" i="2"/>
  <c r="I59" i="2"/>
  <c r="I60" i="2"/>
  <c r="I57" i="2"/>
  <c r="I61" i="2"/>
  <c r="I63" i="2"/>
  <c r="I62" i="2"/>
  <c r="I64" i="2"/>
  <c r="I65" i="2"/>
  <c r="I67" i="2"/>
  <c r="I68" i="2"/>
  <c r="I66" i="2"/>
  <c r="I69" i="2"/>
  <c r="I71" i="2"/>
  <c r="I70" i="2"/>
  <c r="I73" i="2"/>
  <c r="I74" i="2"/>
  <c r="I75" i="2"/>
  <c r="I72" i="2"/>
  <c r="I77" i="2"/>
  <c r="I78" i="2"/>
  <c r="I76" i="2"/>
  <c r="I79" i="2"/>
  <c r="I81" i="2"/>
  <c r="I82" i="2"/>
  <c r="I80" i="2"/>
  <c r="I84" i="2"/>
  <c r="I83" i="2"/>
  <c r="I85" i="2"/>
  <c r="I87" i="2"/>
  <c r="I86" i="2"/>
  <c r="I89" i="2"/>
  <c r="I88" i="2"/>
  <c r="I91" i="2"/>
  <c r="I92" i="2"/>
  <c r="I90" i="2"/>
  <c r="I94" i="2"/>
  <c r="I93" i="2"/>
  <c r="I96" i="2"/>
  <c r="I95" i="2"/>
  <c r="I98" i="2"/>
  <c r="I97" i="2"/>
  <c r="I100" i="2"/>
  <c r="I103" i="2"/>
  <c r="I101" i="2"/>
  <c r="I102" i="2"/>
  <c r="I99" i="2"/>
  <c r="I140" i="2"/>
  <c r="I141" i="2"/>
  <c r="I139" i="2"/>
  <c r="I143" i="2"/>
  <c r="I144" i="2"/>
  <c r="I145" i="2"/>
  <c r="I142" i="2"/>
  <c r="I147" i="2"/>
  <c r="I148" i="2"/>
  <c r="I146" i="2"/>
  <c r="I149" i="2"/>
  <c r="I150" i="2"/>
  <c r="I152" i="2"/>
  <c r="I153" i="2"/>
  <c r="I151" i="2"/>
  <c r="I155" i="2"/>
  <c r="I156" i="2"/>
  <c r="I157" i="2"/>
  <c r="I154" i="2"/>
  <c r="I159" i="2"/>
  <c r="I160" i="2"/>
  <c r="I158" i="2"/>
  <c r="I162" i="2"/>
  <c r="I163" i="2"/>
  <c r="I164" i="2"/>
  <c r="I161" i="2"/>
  <c r="I166" i="2"/>
  <c r="I167" i="2"/>
  <c r="I165" i="2"/>
  <c r="I169" i="2"/>
  <c r="I170" i="2"/>
  <c r="I168" i="2"/>
  <c r="I172" i="2"/>
  <c r="I173" i="2"/>
  <c r="I171" i="2"/>
  <c r="I175" i="2"/>
  <c r="I176" i="2"/>
  <c r="I174" i="2"/>
  <c r="I178" i="2"/>
  <c r="I179" i="2"/>
  <c r="I177" i="2"/>
  <c r="I181" i="2"/>
  <c r="I182" i="2"/>
  <c r="I180" i="2"/>
  <c r="I184" i="2"/>
  <c r="I185" i="2"/>
  <c r="I186" i="2"/>
  <c r="I183" i="2"/>
  <c r="I188" i="2"/>
  <c r="I189" i="2"/>
  <c r="I190" i="2"/>
  <c r="I187" i="2"/>
  <c r="I192" i="2"/>
  <c r="I193" i="2"/>
  <c r="I194" i="2"/>
  <c r="I191" i="2"/>
  <c r="I196" i="2"/>
  <c r="I197" i="2"/>
  <c r="I198" i="2"/>
  <c r="I195" i="2"/>
  <c r="I200" i="2"/>
  <c r="I201" i="2"/>
  <c r="I199" i="2"/>
  <c r="I203" i="2"/>
  <c r="I204" i="2"/>
  <c r="I202" i="2"/>
  <c r="I206" i="2"/>
  <c r="I207" i="2"/>
  <c r="I205" i="2"/>
  <c r="I209" i="2"/>
  <c r="I210" i="2"/>
  <c r="I211" i="2"/>
  <c r="I208" i="2"/>
  <c r="I213" i="2"/>
  <c r="I214" i="2"/>
  <c r="I215" i="2"/>
  <c r="I212" i="2"/>
  <c r="I217" i="2"/>
  <c r="I218" i="2"/>
  <c r="I216" i="2"/>
  <c r="I220" i="2"/>
  <c r="I221" i="2"/>
  <c r="I219" i="2"/>
  <c r="I223" i="2"/>
  <c r="I224" i="2"/>
  <c r="I222" i="2"/>
  <c r="I226" i="2"/>
  <c r="I227" i="2"/>
  <c r="I228" i="2"/>
  <c r="I225" i="2"/>
  <c r="I230" i="2"/>
  <c r="I231" i="2"/>
  <c r="I229" i="2"/>
  <c r="I416" i="2"/>
  <c r="I417" i="2"/>
  <c r="I415" i="2"/>
  <c r="I444" i="2"/>
  <c r="I445" i="2"/>
  <c r="I443" i="2"/>
  <c r="I447" i="2"/>
  <c r="I446" i="2"/>
  <c r="I448" i="2"/>
  <c r="I449" i="2"/>
  <c r="I451" i="2"/>
  <c r="I452" i="2"/>
  <c r="I450" i="2"/>
  <c r="I454" i="2"/>
  <c r="I455" i="2"/>
  <c r="I453" i="2"/>
  <c r="I457" i="2"/>
  <c r="I458" i="2"/>
  <c r="I456" i="2"/>
  <c r="I460" i="2"/>
  <c r="I461" i="2"/>
  <c r="I459" i="2"/>
  <c r="I463" i="2"/>
  <c r="I464" i="2"/>
  <c r="I462" i="2"/>
  <c r="I466" i="2"/>
  <c r="I467" i="2"/>
  <c r="I465" i="2"/>
  <c r="I469" i="2"/>
  <c r="I470" i="2"/>
  <c r="I468" i="2"/>
  <c r="I472" i="2"/>
  <c r="I473" i="2"/>
  <c r="I471" i="2"/>
  <c r="I475" i="2"/>
  <c r="I476" i="2"/>
  <c r="I474" i="2"/>
  <c r="I478" i="2"/>
  <c r="I479" i="2"/>
  <c r="I477" i="2"/>
  <c r="I481" i="2"/>
  <c r="I482" i="2"/>
  <c r="I480" i="2"/>
  <c r="I484" i="2"/>
  <c r="I485" i="2"/>
  <c r="I483" i="2"/>
  <c r="I487" i="2"/>
  <c r="I488" i="2"/>
  <c r="I486" i="2"/>
  <c r="I490" i="2"/>
  <c r="I491" i="2"/>
  <c r="I489" i="2"/>
  <c r="I493" i="2"/>
  <c r="I494" i="2"/>
  <c r="I492" i="2"/>
  <c r="I496" i="2"/>
  <c r="I497" i="2"/>
  <c r="I495" i="2"/>
  <c r="I499" i="2"/>
  <c r="I500" i="2"/>
  <c r="I498" i="2"/>
  <c r="I502" i="2"/>
  <c r="I503" i="2"/>
  <c r="I501" i="2"/>
  <c r="I505" i="2"/>
  <c r="I506" i="2"/>
  <c r="I504" i="2"/>
  <c r="I508" i="2"/>
  <c r="I509" i="2"/>
  <c r="I507" i="2"/>
  <c r="I511" i="2"/>
  <c r="I512" i="2"/>
  <c r="I510" i="2"/>
  <c r="I514" i="2"/>
  <c r="I515" i="2"/>
  <c r="I516" i="2"/>
  <c r="I513" i="2"/>
  <c r="I517" i="2"/>
  <c r="I519" i="2"/>
  <c r="I520" i="2"/>
  <c r="I521" i="2"/>
  <c r="I518" i="2"/>
  <c r="I523" i="2"/>
  <c r="I524" i="2"/>
  <c r="I525" i="2"/>
  <c r="I522" i="2"/>
  <c r="I527" i="2"/>
  <c r="I528" i="2"/>
  <c r="I529" i="2"/>
  <c r="I526" i="2"/>
  <c r="I531" i="2"/>
  <c r="I532" i="2"/>
  <c r="I530" i="2"/>
  <c r="I534" i="2"/>
  <c r="I535" i="2"/>
  <c r="I533" i="2"/>
  <c r="I537" i="2"/>
  <c r="I538" i="2"/>
  <c r="I536" i="2"/>
  <c r="I540" i="2"/>
  <c r="I541" i="2"/>
  <c r="I539" i="2"/>
  <c r="I543" i="2"/>
  <c r="I544" i="2"/>
  <c r="I542" i="2"/>
  <c r="I546" i="2"/>
  <c r="I547" i="2"/>
  <c r="I545" i="2"/>
  <c r="I549" i="2"/>
  <c r="I550" i="2"/>
  <c r="I548" i="2"/>
  <c r="I552" i="2"/>
  <c r="I553" i="2"/>
  <c r="I551" i="2"/>
  <c r="I555" i="2"/>
  <c r="I556" i="2"/>
  <c r="I554" i="2"/>
  <c r="I558" i="2"/>
  <c r="I559" i="2"/>
  <c r="I557" i="2"/>
  <c r="I561" i="2"/>
  <c r="I562" i="2"/>
  <c r="I560" i="2"/>
  <c r="I564" i="2"/>
  <c r="I565" i="2"/>
  <c r="I566" i="2"/>
  <c r="I563" i="2"/>
  <c r="I568" i="2"/>
  <c r="I569" i="2"/>
  <c r="I567" i="2"/>
  <c r="I571" i="2"/>
  <c r="I572" i="2"/>
  <c r="I573" i="2"/>
  <c r="I570" i="2"/>
  <c r="I575" i="2"/>
  <c r="I576" i="2"/>
  <c r="I574" i="2"/>
  <c r="I578" i="2"/>
  <c r="I579" i="2"/>
  <c r="I577" i="2"/>
  <c r="I581" i="2"/>
  <c r="I582" i="2"/>
  <c r="I580" i="2"/>
  <c r="I343" i="2"/>
  <c r="I344" i="2"/>
  <c r="I342" i="2"/>
  <c r="I346" i="2"/>
  <c r="I347" i="2"/>
  <c r="I345" i="2"/>
  <c r="I349" i="2"/>
  <c r="I350" i="2"/>
  <c r="I348" i="2"/>
  <c r="I352" i="2"/>
  <c r="I353" i="2"/>
  <c r="I351" i="2"/>
  <c r="I355" i="2"/>
  <c r="I356" i="2"/>
  <c r="I354" i="2"/>
  <c r="I358" i="2"/>
  <c r="I359" i="2"/>
  <c r="I357" i="2"/>
  <c r="I361" i="2"/>
  <c r="I362" i="2"/>
  <c r="I360" i="2"/>
  <c r="I364" i="2"/>
  <c r="I365" i="2"/>
  <c r="I363" i="2"/>
  <c r="I367" i="2"/>
  <c r="I368" i="2"/>
  <c r="I366" i="2"/>
  <c r="I370" i="2"/>
  <c r="I371" i="2"/>
  <c r="I369" i="2"/>
  <c r="I373" i="2"/>
  <c r="I374" i="2"/>
  <c r="I372" i="2"/>
  <c r="I376" i="2"/>
  <c r="I377" i="2"/>
  <c r="I375" i="2"/>
  <c r="I379" i="2"/>
  <c r="I380" i="2"/>
  <c r="I378" i="2"/>
  <c r="I382" i="2"/>
  <c r="I383" i="2"/>
  <c r="I381" i="2"/>
  <c r="I385" i="2"/>
  <c r="I386" i="2"/>
  <c r="I384" i="2"/>
  <c r="I388" i="2"/>
  <c r="I389" i="2"/>
  <c r="I387" i="2"/>
  <c r="I391" i="2"/>
  <c r="I392" i="2"/>
  <c r="I390" i="2"/>
  <c r="I394" i="2"/>
  <c r="I395" i="2"/>
  <c r="I393" i="2"/>
  <c r="I397" i="2"/>
  <c r="I398" i="2"/>
  <c r="I396" i="2"/>
  <c r="I400" i="2"/>
  <c r="I401" i="2"/>
  <c r="I399" i="2"/>
  <c r="I403" i="2"/>
  <c r="I404" i="2"/>
  <c r="I402" i="2"/>
  <c r="I406" i="2"/>
  <c r="I407" i="2"/>
  <c r="I405" i="2"/>
  <c r="I409" i="2"/>
  <c r="I410" i="2"/>
  <c r="I411" i="2"/>
  <c r="I408" i="2"/>
  <c r="I413" i="2"/>
  <c r="I414" i="2"/>
  <c r="I412" i="2"/>
  <c r="I432" i="2"/>
  <c r="I433" i="2"/>
  <c r="I431" i="2"/>
  <c r="I128" i="2"/>
  <c r="I129" i="2"/>
  <c r="I127" i="2"/>
  <c r="I130" i="2"/>
  <c r="I126" i="2"/>
  <c r="I1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EA51BC-8512-43E9-90B3-615BEF82DFC8}" keepAlive="1" name="Consulta - deepseek_csv_20260729_571ead" description="Conexão com a consulta 'deepseek_csv_20260729_571ead' na pasta de trabalho." type="5" refreshedVersion="8" background="1" saveData="1">
    <dbPr connection="Provider=Microsoft.Mashup.OleDb.1;Data Source=$Workbook$;Location=deepseek_csv_20260729_571ead;Extended Properties=&quot;&quot;" command="SELECT * FROM [deepseek_csv_20260729_571ea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<sst xmlns="http://schemas.openxmlformats.org/spreadsheetml/2006/main" count="1753" uniqueCount="289">
  <si>
    <t>UF</t>
  </si>
  <si>
    <t>Nome do Cidade</t>
  </si>
  <si>
    <t>Eixos</t>
  </si>
  <si>
    <t>Valor</t>
  </si>
  <si>
    <t>PA</t>
  </si>
  <si>
    <t>ANANINDEUA</t>
  </si>
  <si>
    <t>CA</t>
  </si>
  <si>
    <t>TU</t>
  </si>
  <si>
    <t>BELEM</t>
  </si>
  <si>
    <t>BI</t>
  </si>
  <si>
    <t>BENEVIDES</t>
  </si>
  <si>
    <t>CANAA DOS CARAJAS</t>
  </si>
  <si>
    <t>CAPITAO POCO</t>
  </si>
  <si>
    <t>CASTANHAL</t>
  </si>
  <si>
    <t>JACUNDA</t>
  </si>
  <si>
    <t>MARITUBA</t>
  </si>
  <si>
    <t>MOJU</t>
  </si>
  <si>
    <t>PARAUAPEBAS</t>
  </si>
  <si>
    <t>TUCUMA</t>
  </si>
  <si>
    <t>MA</t>
  </si>
  <si>
    <t>ACAILANDIA</t>
  </si>
  <si>
    <t>DOM PEDRO</t>
  </si>
  <si>
    <t>ESTREITO</t>
  </si>
  <si>
    <t>GRAJAU</t>
  </si>
  <si>
    <t>IMPERATRIZ</t>
  </si>
  <si>
    <t>PI</t>
  </si>
  <si>
    <t>TERESINA</t>
  </si>
  <si>
    <t>CE</t>
  </si>
  <si>
    <t>BARBALHA</t>
  </si>
  <si>
    <t>CAUCAIA</t>
  </si>
  <si>
    <t>FORTALEZA</t>
  </si>
  <si>
    <t>IGUATU</t>
  </si>
  <si>
    <t>JAGUARUANA</t>
  </si>
  <si>
    <t>JUAZEIRO DO NORTE</t>
  </si>
  <si>
    <t>JUCAS</t>
  </si>
  <si>
    <t>MARACANAU</t>
  </si>
  <si>
    <t>MAURITI</t>
  </si>
  <si>
    <t>MISSAO VELHA</t>
  </si>
  <si>
    <t>QUIXADA</t>
  </si>
  <si>
    <t>QUIXELO</t>
  </si>
  <si>
    <t>RUSSAS</t>
  </si>
  <si>
    <t>SAO BENEDITO</t>
  </si>
  <si>
    <t>UBAJARA</t>
  </si>
  <si>
    <t>VARZEA ALEGRE</t>
  </si>
  <si>
    <t>RN</t>
  </si>
  <si>
    <t>ASSU</t>
  </si>
  <si>
    <t>CEARA-MIRIM</t>
  </si>
  <si>
    <t>PARNAMIRIM</t>
  </si>
  <si>
    <t>MACAIBA</t>
  </si>
  <si>
    <t>MOSSORO</t>
  </si>
  <si>
    <t>NATAL</t>
  </si>
  <si>
    <t>PEDRO VELHO</t>
  </si>
  <si>
    <t>SAO GONCALO DO AMARANTE</t>
  </si>
  <si>
    <t>SAO JOSE DE MIPIBU</t>
  </si>
  <si>
    <t>PB</t>
  </si>
  <si>
    <t>BAYEUX</t>
  </si>
  <si>
    <t>CABEDELO</t>
  </si>
  <si>
    <t>CAMPINA GRANDE</t>
  </si>
  <si>
    <t>JOAO PESSOA</t>
  </si>
  <si>
    <t>PATOS</t>
  </si>
  <si>
    <t>PAULISTA</t>
  </si>
  <si>
    <t>PIANCO</t>
  </si>
  <si>
    <t>RIACHO DOS CAVALOS</t>
  </si>
  <si>
    <t>SAO SEBASTIAO DE LAGOA D</t>
  </si>
  <si>
    <t>SOUSA</t>
  </si>
  <si>
    <t>PE</t>
  </si>
  <si>
    <t>ABREU E LIMA</t>
  </si>
  <si>
    <t>AFOGADOS DA INGAZEIRA</t>
  </si>
  <si>
    <t>ARCOVERDE</t>
  </si>
  <si>
    <t>BELO JARDIM</t>
  </si>
  <si>
    <t>BEZERROS</t>
  </si>
  <si>
    <t>BOM JARDIM</t>
  </si>
  <si>
    <t>BREJO DA MADRE DE DEUS</t>
  </si>
  <si>
    <t>CABO DE SANTO AGOSTINHO</t>
  </si>
  <si>
    <t>CACHOEIRINHA</t>
  </si>
  <si>
    <t>CANHOTINHO</t>
  </si>
  <si>
    <t>CARNAIBA</t>
  </si>
  <si>
    <t>CARPINA</t>
  </si>
  <si>
    <t>CARUARU</t>
  </si>
  <si>
    <t>CUPIRA</t>
  </si>
  <si>
    <t>CUSTODIA</t>
  </si>
  <si>
    <t>ESCADA</t>
  </si>
  <si>
    <t>FLORES</t>
  </si>
  <si>
    <t>GARANHUNS</t>
  </si>
  <si>
    <t>GOIANA</t>
  </si>
  <si>
    <t>GRAVATA</t>
  </si>
  <si>
    <t>IGARASSU</t>
  </si>
  <si>
    <t>ITAMBE</t>
  </si>
  <si>
    <t>ITAPISSUMA</t>
  </si>
  <si>
    <t>JABOATAO DOS GUARARAPES</t>
  </si>
  <si>
    <t>JATAUBA</t>
  </si>
  <si>
    <t>JOAO ALFREDO</t>
  </si>
  <si>
    <t>LAGOA DO CARRO</t>
  </si>
  <si>
    <t>LAJEDO</t>
  </si>
  <si>
    <t>LIMOEIRO</t>
  </si>
  <si>
    <t>OLINDA</t>
  </si>
  <si>
    <t>PALMARES</t>
  </si>
  <si>
    <t>PESQUEIRA</t>
  </si>
  <si>
    <t>PETROLANDIA</t>
  </si>
  <si>
    <t>PETROLINA</t>
  </si>
  <si>
    <t>RECIFE</t>
  </si>
  <si>
    <t>SANTA CRUZ DO CAPIBARIBE</t>
  </si>
  <si>
    <t>SAO BENTO DO UNA</t>
  </si>
  <si>
    <t>SAO JOSE DO EGITO</t>
  </si>
  <si>
    <t>SERRA TALHADA</t>
  </si>
  <si>
    <t>SURUBIM</t>
  </si>
  <si>
    <t>TABIRA</t>
  </si>
  <si>
    <t>TIMBAUBA</t>
  </si>
  <si>
    <t>TORITAMA</t>
  </si>
  <si>
    <t>VERTENTES</t>
  </si>
  <si>
    <t>VITORIA DE SANTO ANTAO</t>
  </si>
  <si>
    <t>AL</t>
  </si>
  <si>
    <t>ARAPIRACA</t>
  </si>
  <si>
    <t>CORURIPE</t>
  </si>
  <si>
    <t>MACEIO</t>
  </si>
  <si>
    <t>MONTEIROPOLIS</t>
  </si>
  <si>
    <t>OLHO DAGUA DAS FLORES</t>
  </si>
  <si>
    <t>RIO LARGO</t>
  </si>
  <si>
    <t>SANTANA DO IPANEMA</t>
  </si>
  <si>
    <t>SAO MIGUEL DOS CAMPOS</t>
  </si>
  <si>
    <t>SAO SEBASTIAO</t>
  </si>
  <si>
    <t>UNIAO DOS PALMARES</t>
  </si>
  <si>
    <t>SE</t>
  </si>
  <si>
    <t>ARACAJU</t>
  </si>
  <si>
    <t>CAMPO DO BRITO</t>
  </si>
  <si>
    <t>ITABAIANA</t>
  </si>
  <si>
    <t>LAGARTO</t>
  </si>
  <si>
    <t>NOSSA SENHORA DA GLORIA</t>
  </si>
  <si>
    <t>NOSSA SENHORA DO SOCORRO</t>
  </si>
  <si>
    <t>TOBIAS BARRETO</t>
  </si>
  <si>
    <t>BA</t>
  </si>
  <si>
    <t>ALAGOINHAS</t>
  </si>
  <si>
    <t>ANGICAL</t>
  </si>
  <si>
    <t>ARACATU</t>
  </si>
  <si>
    <t>ARACI</t>
  </si>
  <si>
    <t>BARREIRAS</t>
  </si>
  <si>
    <t>BRUMADO</t>
  </si>
  <si>
    <t>CAMACARI</t>
  </si>
  <si>
    <t>CANDEIAS</t>
  </si>
  <si>
    <t>CANSANCAO</t>
  </si>
  <si>
    <t>CAPIM GROSSO</t>
  </si>
  <si>
    <t>CONCEICAO DO JACUIPE</t>
  </si>
  <si>
    <t>CRISTOPOLIS</t>
  </si>
  <si>
    <t>CRUZ DAS ALMAS</t>
  </si>
  <si>
    <t>EUNAPOLIS</t>
  </si>
  <si>
    <t>FEIRA DE SANTANA</t>
  </si>
  <si>
    <t>FORMOSA DO RIO PRETO</t>
  </si>
  <si>
    <t>GUANAMBI</t>
  </si>
  <si>
    <t>ILHEUS</t>
  </si>
  <si>
    <t>ITABUNA</t>
  </si>
  <si>
    <t>ITIUBA</t>
  </si>
  <si>
    <t>ITUBERA</t>
  </si>
  <si>
    <t>JEQUIE</t>
  </si>
  <si>
    <t>JEREMOABO</t>
  </si>
  <si>
    <t>JUAZEIRO</t>
  </si>
  <si>
    <t>LAPAO</t>
  </si>
  <si>
    <t>LUIS EDUARDO MAGALHAES</t>
  </si>
  <si>
    <t>MACARANI</t>
  </si>
  <si>
    <t>CT</t>
  </si>
  <si>
    <t>OLINDINA</t>
  </si>
  <si>
    <t>PARIPIRANGA</t>
  </si>
  <si>
    <t>PAULO AFONSO</t>
  </si>
  <si>
    <t>PORTO SEGURO</t>
  </si>
  <si>
    <t>SALVADOR</t>
  </si>
  <si>
    <t>SAO DESIDERIO</t>
  </si>
  <si>
    <t>SAO GONCALO DOS CAMPOS</t>
  </si>
  <si>
    <t>SAO JOSE DO JACUIPE</t>
  </si>
  <si>
    <t>SIMOES FILHO</t>
  </si>
  <si>
    <t>TEIXEIRA DE FREITAS</t>
  </si>
  <si>
    <t>TREMEDAL</t>
  </si>
  <si>
    <t>VITORIA DA CONQUISTA</t>
  </si>
  <si>
    <t>BT</t>
  </si>
  <si>
    <t>MG</t>
  </si>
  <si>
    <t>ALFENAS</t>
  </si>
  <si>
    <t>BELO HORIZONTE</t>
  </si>
  <si>
    <t>BOA ESPERANCA</t>
  </si>
  <si>
    <t>BOCAIUVA</t>
  </si>
  <si>
    <t>CONTAGEM</t>
  </si>
  <si>
    <t>DIVINOPOLIS</t>
  </si>
  <si>
    <t>EXTREMA</t>
  </si>
  <si>
    <t>FORMIGA</t>
  </si>
  <si>
    <t>GUARANESIA</t>
  </si>
  <si>
    <t>GUAXUPE</t>
  </si>
  <si>
    <t>ITAUNA</t>
  </si>
  <si>
    <t>ITAVERAVA</t>
  </si>
  <si>
    <t>JANAUBA</t>
  </si>
  <si>
    <t>JOAO PINHEIRO</t>
  </si>
  <si>
    <t>LAGOA DA PRATA</t>
  </si>
  <si>
    <t>MONTES CLAROS</t>
  </si>
  <si>
    <t>NOVA SERRANA</t>
  </si>
  <si>
    <t>PARAGUACU</t>
  </si>
  <si>
    <t>PIUMHI</t>
  </si>
  <si>
    <t>POCOS DE CALDAS</t>
  </si>
  <si>
    <t>RIBEIRAO DAS NEVES</t>
  </si>
  <si>
    <t>SANTANA DO PARAISO</t>
  </si>
  <si>
    <t>SAO JOAQUIM DE BICAS</t>
  </si>
  <si>
    <t>SAO SEBASTIAO DO PARAISO</t>
  </si>
  <si>
    <t>SARZEDO</t>
  </si>
  <si>
    <t>SETE LAGOAS</t>
  </si>
  <si>
    <t>VARGINHA</t>
  </si>
  <si>
    <t>VESPASIANO</t>
  </si>
  <si>
    <t>RJ</t>
  </si>
  <si>
    <t>MACAE</t>
  </si>
  <si>
    <t>SP</t>
  </si>
  <si>
    <t>AMERICANA</t>
  </si>
  <si>
    <t>ANDRADINA</t>
  </si>
  <si>
    <t>ARARAQUARA</t>
  </si>
  <si>
    <t>ATIBAIA</t>
  </si>
  <si>
    <t>BALSAMO</t>
  </si>
  <si>
    <t>BAURU</t>
  </si>
  <si>
    <t>BIRIGUI</t>
  </si>
  <si>
    <t>CAMPO LIMPO PAULISTA</t>
  </si>
  <si>
    <t>CARAPICUIBA</t>
  </si>
  <si>
    <t>COTIA</t>
  </si>
  <si>
    <t>DRACENA</t>
  </si>
  <si>
    <t>FERNANDOPOLIS</t>
  </si>
  <si>
    <t>FRANCA</t>
  </si>
  <si>
    <t>FRANCO DA ROCHA</t>
  </si>
  <si>
    <t>GUAPIA CU</t>
  </si>
  <si>
    <t>GUARARAPES</t>
  </si>
  <si>
    <t>GUARULHOS</t>
  </si>
  <si>
    <t>IPAUSSU</t>
  </si>
  <si>
    <t>ITAJOBI</t>
  </si>
  <si>
    <t>ITAQUAQUECETUBA</t>
  </si>
  <si>
    <t>ITARARE</t>
  </si>
  <si>
    <t>JAU</t>
  </si>
  <si>
    <t>JOSE BONIFACIO</t>
  </si>
  <si>
    <t>JUNDIAI</t>
  </si>
  <si>
    <t>MAUA</t>
  </si>
  <si>
    <t>MERIDIANO</t>
  </si>
  <si>
    <t>MIRASSOL</t>
  </si>
  <si>
    <t>MOGI GUACU</t>
  </si>
  <si>
    <t>NOVO HORIZONTE</t>
  </si>
  <si>
    <t>OLIMPIA</t>
  </si>
  <si>
    <t>PORTO FERREIRA</t>
  </si>
  <si>
    <t>RIBEIRAO PRETO</t>
  </si>
  <si>
    <t>SANTA CRUZ DO RIO PARDO</t>
  </si>
  <si>
    <t>SANTANA DE PARNAIBA</t>
  </si>
  <si>
    <t>SANTO ANDRE</t>
  </si>
  <si>
    <t>SAO CARLOS</t>
  </si>
  <si>
    <t>SAO JOAO DA BOA VISTA</t>
  </si>
  <si>
    <t>SAO JOSE DO RIO PARDO</t>
  </si>
  <si>
    <t>SAO JOSE DO RIO PRETO</t>
  </si>
  <si>
    <t>SAO JOSE DOS CAMPOS</t>
  </si>
  <si>
    <t>SAO PAULO</t>
  </si>
  <si>
    <t>SERTAOZINHO</t>
  </si>
  <si>
    <t>TAQUARITINGA</t>
  </si>
  <si>
    <t>VALENTIM GENTIL</t>
  </si>
  <si>
    <t>VARGEM GRANDE PAULISTA</t>
  </si>
  <si>
    <t>VOTUPORANGA</t>
  </si>
  <si>
    <t>PR</t>
  </si>
  <si>
    <t>ARAPONGAS</t>
  </si>
  <si>
    <t>ASSIS CHATEAUBRIAND</t>
  </si>
  <si>
    <t>BANDEIRANTES</t>
  </si>
  <si>
    <t>CAMBIRA</t>
  </si>
  <si>
    <t>CASCAVEL</t>
  </si>
  <si>
    <t>CIANORTE</t>
  </si>
  <si>
    <t>COLOMBO</t>
  </si>
  <si>
    <t>CORBELIA</t>
  </si>
  <si>
    <t>CORNELIO PROCOPIO</t>
  </si>
  <si>
    <t>CURITIBA</t>
  </si>
  <si>
    <t>FOZ DO IGUACU</t>
  </si>
  <si>
    <t>FRANCISCO BELTRAO</t>
  </si>
  <si>
    <t>JANDAIA DO SUL</t>
  </si>
  <si>
    <t>LONDRINA</t>
  </si>
  <si>
    <t>MARECHAL CANDIDO RONDOI</t>
  </si>
  <si>
    <t>MARINGA</t>
  </si>
  <si>
    <t>PARANAVAI</t>
  </si>
  <si>
    <t>PATO BRANCO</t>
  </si>
  <si>
    <t>PIRAQUARA</t>
  </si>
  <si>
    <t>RIBEIRAO DO PINHAL</t>
  </si>
  <si>
    <t>SAO JOSE DOS PINHAIS</t>
  </si>
  <si>
    <t>SAO MIGUEL DO IGUACU</t>
  </si>
  <si>
    <t>SARANDI</t>
  </si>
  <si>
    <t>RO</t>
  </si>
  <si>
    <t>TAPIRA</t>
  </si>
  <si>
    <t>SC</t>
  </si>
  <si>
    <t>FORQUILHINHA</t>
  </si>
  <si>
    <t>GO</t>
  </si>
  <si>
    <t>ANAPOLIS</t>
  </si>
  <si>
    <t>APARECIDA DE GOIANIA</t>
  </si>
  <si>
    <t>DF</t>
  </si>
  <si>
    <t>BRASILIA</t>
  </si>
  <si>
    <t>Valor por KM</t>
  </si>
  <si>
    <t>Veiculo</t>
  </si>
  <si>
    <t>Capacidade</t>
  </si>
  <si>
    <t>Valor por Tonelada</t>
  </si>
  <si>
    <t>Quilometragem</t>
  </si>
  <si>
    <t>Faixa Distância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</si>
</sst>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6EC7E66-2626-4077-B9DC-27D5E8AF6C77}" autoFormatId="16" applyNumberFormats="0" applyBorderFormats="0" applyFontFormats="0" applyPatternFormats="0" applyAlignmentFormats="0" applyWidthHeightFormats="0">
  <queryTableRefresh nextId="16" unboundColumnsRight="2">
    <queryTableFields count="10">
      <queryTableField id="2" name="UF" tableColumnId="2"/>
      <queryTableField id="4" name="Nome do Cidade" tableColumnId="4"/>
      <queryTableField id="6" name="TP" tableColumnId="6"/>
      <queryTableField id="13" dataBound="0" tableColumnId="13"/>
      <queryTableField id="7" name="Eixos" tableColumnId="7"/>
      <queryTableField id="8" name="Kilometragem" tableColumnId="8"/>
      <queryTableField id="15" dataBound="0" tableColumnId="1"/>
      <queryTableField id="9" name="Valor" tableColumnId="9"/>
      <queryTableField id="12" dataBound="0" tableColumnId="12"/>
      <queryTableField id="14" dataBound="0" tableColumnId="14"/>
    </queryTableFields>
    <queryTableDeletedFields count="5">
      <deletedField name="Quantidade"/>
      <deletedField name="Valor ANTT"/>
      <deletedField name="Diferença"/>
      <deletedField name="Uni"/>
      <deletedField name="Cida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439E4-2EB4-4CB8-AB19-744C2CED9529}" name="TabelaFretes" displayName="TabelaFretes" ref="A1:J582" tableType="queryTable" totalsRowShown="0" headerRowDxfId="11" dataDxfId="10">
  <sortState xmlns:xlrd2="http://schemas.microsoft.com/office/spreadsheetml/2017/richdata2" ref="A2:I582">
    <sortCondition ref="A2:A582"/>
    <sortCondition ref="B2:B582"/>
    <sortCondition ref="E2:E582"/>
  </sortState>
  <tableColumns count="10">
    <tableColumn id="2" xr3:uid="{1EB9C77B-1CC2-4B6C-A1DD-011A74472B16}" uniqueName="2" name="UF" queryTableFieldId="2" dataDxfId="9"/>
    <tableColumn id="4" xr3:uid="{495645CC-32E9-4C18-97CF-66230080C4E2}" uniqueName="4" name="Nome do Cidade" queryTableFieldId="4" dataDxfId="8"/>
    <tableColumn id="6" xr3:uid="{0A73E4B1-9137-41AE-9FAC-687330837E26}" uniqueName="6" name="Veiculo" queryTableFieldId="6" dataDxfId="7"/>
    <tableColumn id="13" xr3:uid="{0C22566F-6C4D-4A1B-B92C-87CD5DE54AED}" uniqueName="13" name="Capacidade" queryTableFieldId="13" dataDxfId="6">
      <calculatedColumnFormula array="1">_xlfn.IFS(TabelaFretes[[#This Row],[Veiculo]]="TU",14,TabelaFretes[[#This Row],[Veiculo]]="BI",19,TabelaFretes[[#This Row],[Veiculo]]="CA",27,TabelaFretes[[#This Row],[Veiculo]]="CT",32,TabelaFretes[[#This Row],[Veiculo]]="BT",37,TabelaFretes[[#This Row],[Veiculo]]="RO",50)</calculatedColumnFormula>
    </tableColumn>
    <tableColumn id="7" xr3:uid="{608A4E8A-1EA0-47BA-8A3F-794B2236DC83}" uniqueName="7" name="Eixos" queryTableFieldId="7" dataDxfId="5"/>
    <tableColumn id="8" xr3:uid="{B92A6DAC-B9FF-4169-A520-E95A41082C26}" uniqueName="8" name="Quilometragem" queryTableFieldId="8" dataDxfId="4"/>
    <tableColumn id="1" xr3:uid="{836B8F88-5382-4A98-86B5-15A7420C9470}" uniqueName="1" name="Faixa Distância" queryTableFieldId="15" dataDxfId="3">
      <calculatedColumnFormula array="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calculatedColumnFormula>
    </tableColumn>
    <tableColumn id="9" xr3:uid="{27B72B1D-D852-49F6-A29D-1DAFE278CB38}" uniqueName="9" name="Valor" queryTableFieldId="9" dataDxfId="2"/>
    <tableColumn id="12" xr3:uid="{D53FB520-0E47-43D8-B012-808B6461295F}" uniqueName="12" name="Valor por KM" queryTableFieldId="12" dataDxfId="1">
      <calculatedColumnFormula>TabelaFretes[[#This Row],[Valor]]/TabelaFretes[[#This Row],[Quilometragem]]</calculatedColumnFormula>
    </tableColumn>
    <tableColumn id="14" xr3:uid="{3FDC2D49-CD5A-41D9-9553-C0784092466B}" uniqueName="14" name="Valor por Tonelada" queryTableFieldId="14" dataDxfId="0">
      <calculatedColumnFormula>TabelaFretes[[#This Row],[Valor]]/TabelaFretes[[#This Row],[Capacidade]]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84D0-3D21-498C-9224-F77D2BB33CF7}">
  <dimension ref="A1:J582"/>
  <sheetViews>
    <sheetView tabSelected="1" zoomScaleNormal="100" workbookViewId="0">
      <selection activeCell="J1" sqref="A1:J582"/>
    </sheetView>
  </sheetViews>
  <sheetFormatPr defaultRowHeight="14.4" x14ac:dyDescent="0.3"/>
  <cols>
    <col min="1" max="1" width="5.44140625" bestFit="1" customWidth="1"/>
    <col min="2" max="2" width="27.44140625" bestFit="1" customWidth="1"/>
    <col min="3" max="3" width="10" customWidth="1"/>
    <col min="4" max="4" width="11.109375" bestFit="1" customWidth="1"/>
    <col min="5" max="5" width="15" bestFit="1" customWidth="1"/>
    <col min="6" max="6" width="14.109375" bestFit="1" customWidth="1"/>
    <col min="7" max="7" width="14.109375" customWidth="1"/>
    <col min="8" max="8" width="13.33203125" customWidth="1"/>
    <col min="9" max="9" width="11.33203125" bestFit="1" customWidth="1"/>
    <col min="10" max="10" width="18.88671875" bestFit="1" customWidth="1"/>
  </cols>
  <sheetData>
    <row r="1" spans="1:10" x14ac:dyDescent="0.3">
      <c r="A1" s="1" t="s">
        <v>0</v>
      </c>
      <c r="B1" s="1" t="s">
        <v>1</v>
      </c>
      <c r="C1" s="1" t="s">
        <v>284</v>
      </c>
      <c r="D1" s="1" t="s">
        <v>285</v>
      </c>
      <c r="E1" s="1" t="s">
        <v>2</v>
      </c>
      <c r="F1" s="1" t="s">
        <v>287</v>
      </c>
      <c r="G1" s="1" t="s">
        <v>288</v>
      </c>
      <c r="H1" s="1" t="s">
        <v>3</v>
      </c>
      <c r="I1" s="1" t="s">
        <v>283</v>
      </c>
      <c r="J1" s="1" t="s">
        <v>286</v>
      </c>
    </row>
    <row r="2" spans="1:10" x14ac:dyDescent="0.3">
      <c r="A2" s="2" t="s">
        <v>111</v>
      </c>
      <c r="B2" s="2" t="s">
        <v>112</v>
      </c>
      <c r="C2" s="2" t="s">
        <v>7</v>
      </c>
      <c r="D2" s="2" cm="1">
        <f t="array" ref="D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" s="2">
        <v>3</v>
      </c>
      <c r="F2" s="2">
        <v>337</v>
      </c>
      <c r="G2" s="2" t="str" cm="1">
        <f t="array" ref="G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" s="2">
        <v>2000</v>
      </c>
      <c r="I2" s="3">
        <f>TabelaFretes[[#This Row],[Valor]]/TabelaFretes[[#This Row],[Quilometragem]]</f>
        <v>5.9347181008902075</v>
      </c>
      <c r="J2" s="3">
        <f>TabelaFretes[[#This Row],[Valor]]/TabelaFretes[[#This Row],[Capacidade]]</f>
        <v>142.85714285714286</v>
      </c>
    </row>
    <row r="3" spans="1:10" x14ac:dyDescent="0.3">
      <c r="A3" s="2" t="s">
        <v>111</v>
      </c>
      <c r="B3" s="2" t="s">
        <v>112</v>
      </c>
      <c r="C3" s="2" t="s">
        <v>9</v>
      </c>
      <c r="D3" s="2" cm="1">
        <f t="array" ref="D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3" s="2">
        <v>4</v>
      </c>
      <c r="F3" s="2">
        <v>337</v>
      </c>
      <c r="G3" s="2" t="str" cm="1">
        <f t="array" ref="G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" s="2">
        <v>2300</v>
      </c>
      <c r="I3" s="3">
        <f>TabelaFretes[[#This Row],[Valor]]/TabelaFretes[[#This Row],[Quilometragem]]</f>
        <v>6.8249258160237387</v>
      </c>
      <c r="J3" s="3">
        <f>TabelaFretes[[#This Row],[Valor]]/TabelaFretes[[#This Row],[Capacidade]]</f>
        <v>121.05263157894737</v>
      </c>
    </row>
    <row r="4" spans="1:10" x14ac:dyDescent="0.3">
      <c r="A4" s="2" t="s">
        <v>111</v>
      </c>
      <c r="B4" s="2" t="s">
        <v>112</v>
      </c>
      <c r="C4" s="2" t="s">
        <v>6</v>
      </c>
      <c r="D4" s="2" cm="1">
        <f t="array" ref="D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" s="2">
        <v>5</v>
      </c>
      <c r="F4" s="2">
        <v>337</v>
      </c>
      <c r="G4" s="2" t="str" cm="1">
        <f t="array" ref="G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" s="2">
        <v>3140</v>
      </c>
      <c r="I4" s="3">
        <f>TabelaFretes[[#This Row],[Valor]]/TabelaFretes[[#This Row],[Quilometragem]]</f>
        <v>9.3175074183976268</v>
      </c>
      <c r="J4" s="3">
        <f>TabelaFretes[[#This Row],[Valor]]/TabelaFretes[[#This Row],[Capacidade]]</f>
        <v>116.29629629629629</v>
      </c>
    </row>
    <row r="5" spans="1:10" x14ac:dyDescent="0.3">
      <c r="A5" s="2" t="s">
        <v>111</v>
      </c>
      <c r="B5" s="2" t="s">
        <v>113</v>
      </c>
      <c r="C5" s="2" t="s">
        <v>7</v>
      </c>
      <c r="D5" s="2" cm="1">
        <f t="array" ref="D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" s="2">
        <v>3</v>
      </c>
      <c r="F5" s="2">
        <v>340</v>
      </c>
      <c r="G5" s="2" t="str" cm="1">
        <f t="array" ref="G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5" s="2">
        <v>2700</v>
      </c>
      <c r="I5" s="3">
        <f>TabelaFretes[[#This Row],[Valor]]/TabelaFretes[[#This Row],[Quilometragem]]</f>
        <v>7.9411764705882355</v>
      </c>
      <c r="J5" s="3">
        <f>TabelaFretes[[#This Row],[Valor]]/TabelaFretes[[#This Row],[Capacidade]]</f>
        <v>192.85714285714286</v>
      </c>
    </row>
    <row r="6" spans="1:10" x14ac:dyDescent="0.3">
      <c r="A6" s="2" t="s">
        <v>111</v>
      </c>
      <c r="B6" s="2" t="s">
        <v>113</v>
      </c>
      <c r="C6" s="2" t="s">
        <v>9</v>
      </c>
      <c r="D6" s="2" cm="1">
        <f t="array" ref="D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6" s="2">
        <v>4</v>
      </c>
      <c r="F6" s="2">
        <v>340</v>
      </c>
      <c r="G6" s="2" t="str" cm="1">
        <f t="array" ref="G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6" s="2">
        <v>3500</v>
      </c>
      <c r="I6" s="3">
        <f>TabelaFretes[[#This Row],[Valor]]/TabelaFretes[[#This Row],[Quilometragem]]</f>
        <v>10.294117647058824</v>
      </c>
      <c r="J6" s="3">
        <f>TabelaFretes[[#This Row],[Valor]]/TabelaFretes[[#This Row],[Capacidade]]</f>
        <v>184.21052631578948</v>
      </c>
    </row>
    <row r="7" spans="1:10" x14ac:dyDescent="0.3">
      <c r="A7" s="2" t="s">
        <v>111</v>
      </c>
      <c r="B7" s="2" t="s">
        <v>114</v>
      </c>
      <c r="C7" s="2" t="s">
        <v>7</v>
      </c>
      <c r="D7" s="2" cm="1">
        <f t="array" ref="D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7" s="2">
        <v>3</v>
      </c>
      <c r="F7" s="2">
        <v>246</v>
      </c>
      <c r="G7" s="2" t="str" cm="1">
        <f t="array" ref="G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7" s="2">
        <v>1700</v>
      </c>
      <c r="I7" s="3">
        <f>TabelaFretes[[#This Row],[Valor]]/TabelaFretes[[#This Row],[Quilometragem]]</f>
        <v>6.9105691056910565</v>
      </c>
      <c r="J7" s="3">
        <f>TabelaFretes[[#This Row],[Valor]]/TabelaFretes[[#This Row],[Capacidade]]</f>
        <v>121.42857142857143</v>
      </c>
    </row>
    <row r="8" spans="1:10" x14ac:dyDescent="0.3">
      <c r="A8" s="2" t="s">
        <v>111</v>
      </c>
      <c r="B8" s="2" t="s">
        <v>114</v>
      </c>
      <c r="C8" s="2" t="s">
        <v>9</v>
      </c>
      <c r="D8" s="2" cm="1">
        <f t="array" ref="D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8" s="2">
        <v>4</v>
      </c>
      <c r="F8" s="2">
        <v>246</v>
      </c>
      <c r="G8" s="2" t="str" cm="1">
        <f t="array" ref="G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8" s="2">
        <v>2000</v>
      </c>
      <c r="I8" s="3">
        <f>TabelaFretes[[#This Row],[Valor]]/TabelaFretes[[#This Row],[Quilometragem]]</f>
        <v>8.1300813008130088</v>
      </c>
      <c r="J8" s="3">
        <f>TabelaFretes[[#This Row],[Valor]]/TabelaFretes[[#This Row],[Capacidade]]</f>
        <v>105.26315789473684</v>
      </c>
    </row>
    <row r="9" spans="1:10" x14ac:dyDescent="0.3">
      <c r="A9" s="2" t="s">
        <v>111</v>
      </c>
      <c r="B9" s="2" t="s">
        <v>114</v>
      </c>
      <c r="C9" s="2" t="s">
        <v>6</v>
      </c>
      <c r="D9" s="2" cm="1">
        <f t="array" ref="D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9" s="2">
        <v>5</v>
      </c>
      <c r="F9" s="2">
        <v>246</v>
      </c>
      <c r="G9" s="2" t="str" cm="1">
        <f t="array" ref="G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9" s="2">
        <v>2330</v>
      </c>
      <c r="I9" s="3">
        <f>TabelaFretes[[#This Row],[Valor]]/TabelaFretes[[#This Row],[Quilometragem]]</f>
        <v>9.4715447154471537</v>
      </c>
      <c r="J9" s="3">
        <f>TabelaFretes[[#This Row],[Valor]]/TabelaFretes[[#This Row],[Capacidade]]</f>
        <v>86.296296296296291</v>
      </c>
    </row>
    <row r="10" spans="1:10" x14ac:dyDescent="0.3">
      <c r="A10" s="2" t="s">
        <v>111</v>
      </c>
      <c r="B10" s="2" t="s">
        <v>115</v>
      </c>
      <c r="C10" s="2" t="s">
        <v>7</v>
      </c>
      <c r="D10" s="2" cm="1">
        <f t="array" ref="D1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0" s="2">
        <v>3</v>
      </c>
      <c r="F10" s="2">
        <v>410</v>
      </c>
      <c r="G10" s="2" t="str" cm="1">
        <f t="array" ref="G1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0" s="2">
        <v>2400</v>
      </c>
      <c r="I10" s="3">
        <f>TabelaFretes[[#This Row],[Valor]]/TabelaFretes[[#This Row],[Quilometragem]]</f>
        <v>5.8536585365853657</v>
      </c>
      <c r="J10" s="3">
        <f>TabelaFretes[[#This Row],[Valor]]/TabelaFretes[[#This Row],[Capacidade]]</f>
        <v>171.42857142857142</v>
      </c>
    </row>
    <row r="11" spans="1:10" x14ac:dyDescent="0.3">
      <c r="A11" s="2" t="s">
        <v>111</v>
      </c>
      <c r="B11" s="2" t="s">
        <v>115</v>
      </c>
      <c r="C11" s="2" t="s">
        <v>9</v>
      </c>
      <c r="D11" s="2" cm="1">
        <f t="array" ref="D1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1" s="2">
        <v>4</v>
      </c>
      <c r="F11" s="2">
        <v>410</v>
      </c>
      <c r="G11" s="2" t="str" cm="1">
        <f t="array" ref="G1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" s="2">
        <v>2700</v>
      </c>
      <c r="I11" s="3">
        <f>TabelaFretes[[#This Row],[Valor]]/TabelaFretes[[#This Row],[Quilometragem]]</f>
        <v>6.5853658536585362</v>
      </c>
      <c r="J11" s="3">
        <f>TabelaFretes[[#This Row],[Valor]]/TabelaFretes[[#This Row],[Capacidade]]</f>
        <v>142.10526315789474</v>
      </c>
    </row>
    <row r="12" spans="1:10" x14ac:dyDescent="0.3">
      <c r="A12" s="2" t="s">
        <v>111</v>
      </c>
      <c r="B12" s="2" t="s">
        <v>116</v>
      </c>
      <c r="C12" s="2" t="s">
        <v>7</v>
      </c>
      <c r="D12" s="2" cm="1">
        <f t="array" ref="D1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2" s="2">
        <v>3</v>
      </c>
      <c r="F12" s="2">
        <v>382</v>
      </c>
      <c r="G12" s="2" t="str" cm="1">
        <f t="array" ref="G1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2" s="2">
        <v>2500</v>
      </c>
      <c r="I12" s="3">
        <f>TabelaFretes[[#This Row],[Valor]]/TabelaFretes[[#This Row],[Quilometragem]]</f>
        <v>6.5445026178010473</v>
      </c>
      <c r="J12" s="3">
        <f>TabelaFretes[[#This Row],[Valor]]/TabelaFretes[[#This Row],[Capacidade]]</f>
        <v>178.57142857142858</v>
      </c>
    </row>
    <row r="13" spans="1:10" x14ac:dyDescent="0.3">
      <c r="A13" s="2" t="s">
        <v>111</v>
      </c>
      <c r="B13" s="2" t="s">
        <v>116</v>
      </c>
      <c r="C13" s="2" t="s">
        <v>9</v>
      </c>
      <c r="D13" s="2" cm="1">
        <f t="array" ref="D1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3" s="2">
        <v>4</v>
      </c>
      <c r="F13" s="2">
        <v>382</v>
      </c>
      <c r="G13" s="2" t="str" cm="1">
        <f t="array" ref="G1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3" s="2">
        <v>3000</v>
      </c>
      <c r="I13" s="3">
        <f>TabelaFretes[[#This Row],[Valor]]/TabelaFretes[[#This Row],[Quilometragem]]</f>
        <v>7.8534031413612562</v>
      </c>
      <c r="J13" s="3">
        <f>TabelaFretes[[#This Row],[Valor]]/TabelaFretes[[#This Row],[Capacidade]]</f>
        <v>157.89473684210526</v>
      </c>
    </row>
    <row r="14" spans="1:10" x14ac:dyDescent="0.3">
      <c r="A14" s="2" t="s">
        <v>111</v>
      </c>
      <c r="B14" s="2" t="s">
        <v>117</v>
      </c>
      <c r="C14" s="2" t="s">
        <v>7</v>
      </c>
      <c r="D14" s="2" cm="1">
        <f t="array" ref="D1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4" s="2">
        <v>3</v>
      </c>
      <c r="F14" s="2">
        <v>222</v>
      </c>
      <c r="G14" s="2" t="str" cm="1">
        <f t="array" ref="G1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14" s="2">
        <v>1700</v>
      </c>
      <c r="I14" s="3">
        <f>TabelaFretes[[#This Row],[Valor]]/TabelaFretes[[#This Row],[Quilometragem]]</f>
        <v>7.6576576576576576</v>
      </c>
      <c r="J14" s="3">
        <f>TabelaFretes[[#This Row],[Valor]]/TabelaFretes[[#This Row],[Capacidade]]</f>
        <v>121.42857142857143</v>
      </c>
    </row>
    <row r="15" spans="1:10" x14ac:dyDescent="0.3">
      <c r="A15" s="2" t="s">
        <v>111</v>
      </c>
      <c r="B15" s="2" t="s">
        <v>117</v>
      </c>
      <c r="C15" s="2" t="s">
        <v>9</v>
      </c>
      <c r="D15" s="2" cm="1">
        <f t="array" ref="D1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5" s="2">
        <v>4</v>
      </c>
      <c r="F15" s="2">
        <v>222</v>
      </c>
      <c r="G15" s="2" t="str" cm="1">
        <f t="array" ref="G1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15" s="2">
        <v>2100</v>
      </c>
      <c r="I15" s="3">
        <f>TabelaFretes[[#This Row],[Valor]]/TabelaFretes[[#This Row],[Quilometragem]]</f>
        <v>9.4594594594594597</v>
      </c>
      <c r="J15" s="3">
        <f>TabelaFretes[[#This Row],[Valor]]/TabelaFretes[[#This Row],[Capacidade]]</f>
        <v>110.52631578947368</v>
      </c>
    </row>
    <row r="16" spans="1:10" x14ac:dyDescent="0.3">
      <c r="A16" s="2" t="s">
        <v>111</v>
      </c>
      <c r="B16" s="2" t="s">
        <v>118</v>
      </c>
      <c r="C16" s="2" t="s">
        <v>7</v>
      </c>
      <c r="D16" s="2" cm="1">
        <f t="array" ref="D1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6" s="2">
        <v>3</v>
      </c>
      <c r="F16" s="2">
        <v>366</v>
      </c>
      <c r="G16" s="2" t="str" cm="1">
        <f t="array" ref="G1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6" s="2">
        <v>2700</v>
      </c>
      <c r="I16" s="3">
        <f>TabelaFretes[[#This Row],[Valor]]/TabelaFretes[[#This Row],[Quilometragem]]</f>
        <v>7.3770491803278686</v>
      </c>
      <c r="J16" s="3">
        <f>TabelaFretes[[#This Row],[Valor]]/TabelaFretes[[#This Row],[Capacidade]]</f>
        <v>192.85714285714286</v>
      </c>
    </row>
    <row r="17" spans="1:10" x14ac:dyDescent="0.3">
      <c r="A17" s="2" t="s">
        <v>111</v>
      </c>
      <c r="B17" s="2" t="s">
        <v>119</v>
      </c>
      <c r="C17" s="2" t="s">
        <v>7</v>
      </c>
      <c r="D17" s="2" cm="1">
        <f t="array" ref="D1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7" s="2">
        <v>3</v>
      </c>
      <c r="F17" s="2">
        <v>314</v>
      </c>
      <c r="G17" s="2" t="str" cm="1">
        <f t="array" ref="G1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7" s="2">
        <v>2020</v>
      </c>
      <c r="I17" s="3">
        <f>TabelaFretes[[#This Row],[Valor]]/TabelaFretes[[#This Row],[Quilometragem]]</f>
        <v>6.4331210191082802</v>
      </c>
      <c r="J17" s="3">
        <f>TabelaFretes[[#This Row],[Valor]]/TabelaFretes[[#This Row],[Capacidade]]</f>
        <v>144.28571428571428</v>
      </c>
    </row>
    <row r="18" spans="1:10" x14ac:dyDescent="0.3">
      <c r="A18" s="2" t="s">
        <v>111</v>
      </c>
      <c r="B18" s="2" t="s">
        <v>119</v>
      </c>
      <c r="C18" s="2" t="s">
        <v>9</v>
      </c>
      <c r="D18" s="2" cm="1">
        <f t="array" ref="D1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8" s="2">
        <v>4</v>
      </c>
      <c r="F18" s="2">
        <v>314</v>
      </c>
      <c r="G18" s="2" t="str" cm="1">
        <f t="array" ref="G1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8" s="2">
        <v>3000</v>
      </c>
      <c r="I18" s="3">
        <f>TabelaFretes[[#This Row],[Valor]]/TabelaFretes[[#This Row],[Quilometragem]]</f>
        <v>9.5541401273885356</v>
      </c>
      <c r="J18" s="3">
        <f>TabelaFretes[[#This Row],[Valor]]/TabelaFretes[[#This Row],[Capacidade]]</f>
        <v>157.89473684210526</v>
      </c>
    </row>
    <row r="19" spans="1:10" x14ac:dyDescent="0.3">
      <c r="A19" s="2" t="s">
        <v>111</v>
      </c>
      <c r="B19" s="2" t="s">
        <v>120</v>
      </c>
      <c r="C19" s="2" t="s">
        <v>7</v>
      </c>
      <c r="D19" s="2" cm="1">
        <f t="array" ref="D1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9" s="2">
        <v>3</v>
      </c>
      <c r="F19" s="2">
        <v>386</v>
      </c>
      <c r="G19" s="2" t="str" cm="1">
        <f t="array" ref="G1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9" s="2">
        <v>2000</v>
      </c>
      <c r="I19" s="3">
        <f>TabelaFretes[[#This Row],[Valor]]/TabelaFretes[[#This Row],[Quilometragem]]</f>
        <v>5.1813471502590671</v>
      </c>
      <c r="J19" s="3">
        <f>TabelaFretes[[#This Row],[Valor]]/TabelaFretes[[#This Row],[Capacidade]]</f>
        <v>142.85714285714286</v>
      </c>
    </row>
    <row r="20" spans="1:10" x14ac:dyDescent="0.3">
      <c r="A20" s="2" t="s">
        <v>111</v>
      </c>
      <c r="B20" s="2" t="s">
        <v>121</v>
      </c>
      <c r="C20" s="2" t="s">
        <v>7</v>
      </c>
      <c r="D20" s="2" cm="1">
        <f t="array" ref="D2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0" s="2">
        <v>3</v>
      </c>
      <c r="F20" s="2">
        <v>215</v>
      </c>
      <c r="G20" s="2" t="str" cm="1">
        <f t="array" ref="G2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0" s="2">
        <v>1800</v>
      </c>
      <c r="I20" s="3">
        <f>TabelaFretes[[#This Row],[Valor]]/TabelaFretes[[#This Row],[Quilometragem]]</f>
        <v>8.3720930232558146</v>
      </c>
      <c r="J20" s="3">
        <f>TabelaFretes[[#This Row],[Valor]]/TabelaFretes[[#This Row],[Capacidade]]</f>
        <v>128.57142857142858</v>
      </c>
    </row>
    <row r="21" spans="1:10" x14ac:dyDescent="0.3">
      <c r="A21" s="2" t="s">
        <v>130</v>
      </c>
      <c r="B21" s="2" t="s">
        <v>131</v>
      </c>
      <c r="C21" s="2" t="s">
        <v>7</v>
      </c>
      <c r="D21" s="2" cm="1">
        <f t="array" ref="D2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1" s="2">
        <v>3</v>
      </c>
      <c r="F21" s="2">
        <v>702</v>
      </c>
      <c r="G21" s="2" t="str" cm="1">
        <f t="array" ref="G2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1" s="2">
        <v>3000</v>
      </c>
      <c r="I21" s="3">
        <f>TabelaFretes[[#This Row],[Valor]]/TabelaFretes[[#This Row],[Quilometragem]]</f>
        <v>4.2735042735042734</v>
      </c>
      <c r="J21" s="3">
        <f>TabelaFretes[[#This Row],[Valor]]/TabelaFretes[[#This Row],[Capacidade]]</f>
        <v>214.28571428571428</v>
      </c>
    </row>
    <row r="22" spans="1:10" x14ac:dyDescent="0.3">
      <c r="A22" s="2" t="s">
        <v>130</v>
      </c>
      <c r="B22" s="2" t="s">
        <v>132</v>
      </c>
      <c r="C22" s="2" t="s">
        <v>7</v>
      </c>
      <c r="D22" s="2" cm="1">
        <f t="array" ref="D2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2" s="2">
        <v>3</v>
      </c>
      <c r="F22" s="2">
        <v>1510</v>
      </c>
      <c r="G22" s="2" t="str" cm="1">
        <f t="array" ref="G2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2" s="2">
        <v>5500</v>
      </c>
      <c r="I22" s="3">
        <f>TabelaFretes[[#This Row],[Valor]]/TabelaFretes[[#This Row],[Quilometragem]]</f>
        <v>3.6423841059602649</v>
      </c>
      <c r="J22" s="3">
        <f>TabelaFretes[[#This Row],[Valor]]/TabelaFretes[[#This Row],[Capacidade]]</f>
        <v>392.85714285714283</v>
      </c>
    </row>
    <row r="23" spans="1:10" x14ac:dyDescent="0.3">
      <c r="A23" s="2" t="s">
        <v>130</v>
      </c>
      <c r="B23" s="2" t="s">
        <v>132</v>
      </c>
      <c r="C23" s="2" t="s">
        <v>6</v>
      </c>
      <c r="D23" s="2" cm="1">
        <f t="array" ref="D2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3" s="2">
        <v>5</v>
      </c>
      <c r="F23" s="2">
        <v>1507</v>
      </c>
      <c r="G23" s="2" t="str" cm="1">
        <f t="array" ref="G2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3" s="2">
        <v>10000</v>
      </c>
      <c r="I23" s="3">
        <f>TabelaFretes[[#This Row],[Valor]]/TabelaFretes[[#This Row],[Quilometragem]]</f>
        <v>6.6357000663570007</v>
      </c>
      <c r="J23" s="3">
        <f>TabelaFretes[[#This Row],[Valor]]/TabelaFretes[[#This Row],[Capacidade]]</f>
        <v>370.37037037037038</v>
      </c>
    </row>
    <row r="24" spans="1:10" x14ac:dyDescent="0.3">
      <c r="A24" s="2" t="s">
        <v>130</v>
      </c>
      <c r="B24" s="2" t="s">
        <v>133</v>
      </c>
      <c r="C24" s="2" t="s">
        <v>7</v>
      </c>
      <c r="D24" s="2" cm="1">
        <f t="array" ref="D2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4" s="2">
        <v>3</v>
      </c>
      <c r="F24" s="2">
        <v>1231</v>
      </c>
      <c r="G24" s="2" t="str" cm="1">
        <f t="array" ref="G2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4" s="2">
        <v>5500</v>
      </c>
      <c r="I24" s="3">
        <f>TabelaFretes[[#This Row],[Valor]]/TabelaFretes[[#This Row],[Quilometragem]]</f>
        <v>4.4679122664500408</v>
      </c>
      <c r="J24" s="3">
        <f>TabelaFretes[[#This Row],[Valor]]/TabelaFretes[[#This Row],[Capacidade]]</f>
        <v>392.85714285714283</v>
      </c>
    </row>
    <row r="25" spans="1:10" x14ac:dyDescent="0.3">
      <c r="A25" s="2" t="s">
        <v>130</v>
      </c>
      <c r="B25" s="2" t="s">
        <v>134</v>
      </c>
      <c r="C25" s="2" t="s">
        <v>7</v>
      </c>
      <c r="D25" s="2" cm="1">
        <f t="array" ref="D2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5" s="2">
        <v>3</v>
      </c>
      <c r="F25" s="2">
        <v>683</v>
      </c>
      <c r="G25" s="2" t="str" cm="1">
        <f t="array" ref="G2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5" s="2">
        <v>3000</v>
      </c>
      <c r="I25" s="3">
        <f>TabelaFretes[[#This Row],[Valor]]/TabelaFretes[[#This Row],[Quilometragem]]</f>
        <v>4.3923865300146412</v>
      </c>
      <c r="J25" s="3">
        <f>TabelaFretes[[#This Row],[Valor]]/TabelaFretes[[#This Row],[Capacidade]]</f>
        <v>214.28571428571428</v>
      </c>
    </row>
    <row r="26" spans="1:10" x14ac:dyDescent="0.3">
      <c r="A26" s="2" t="s">
        <v>130</v>
      </c>
      <c r="B26" s="2" t="s">
        <v>134</v>
      </c>
      <c r="C26" s="2" t="s">
        <v>9</v>
      </c>
      <c r="D26" s="2" cm="1">
        <f t="array" ref="D2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6" s="2">
        <v>4</v>
      </c>
      <c r="F26" s="2">
        <v>683</v>
      </c>
      <c r="G26" s="2" t="str" cm="1">
        <f t="array" ref="G2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6" s="2">
        <v>3200</v>
      </c>
      <c r="I26" s="3">
        <f>TabelaFretes[[#This Row],[Valor]]/TabelaFretes[[#This Row],[Quilometragem]]</f>
        <v>4.6852122986822842</v>
      </c>
      <c r="J26" s="3">
        <f>TabelaFretes[[#This Row],[Valor]]/TabelaFretes[[#This Row],[Capacidade]]</f>
        <v>168.42105263157896</v>
      </c>
    </row>
    <row r="27" spans="1:10" x14ac:dyDescent="0.3">
      <c r="A27" s="2" t="s">
        <v>130</v>
      </c>
      <c r="B27" s="2" t="s">
        <v>135</v>
      </c>
      <c r="C27" s="2" t="s">
        <v>7</v>
      </c>
      <c r="D27" s="2" cm="1">
        <f t="array" ref="D2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7" s="2">
        <v>3</v>
      </c>
      <c r="F27" s="2">
        <v>1526</v>
      </c>
      <c r="G27" s="2" t="str" cm="1">
        <f t="array" ref="G2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7" s="2">
        <v>5500</v>
      </c>
      <c r="I27" s="3">
        <f>TabelaFretes[[#This Row],[Valor]]/TabelaFretes[[#This Row],[Quilometragem]]</f>
        <v>3.6041939711664481</v>
      </c>
      <c r="J27" s="3">
        <f>TabelaFretes[[#This Row],[Valor]]/TabelaFretes[[#This Row],[Capacidade]]</f>
        <v>392.85714285714283</v>
      </c>
    </row>
    <row r="28" spans="1:10" x14ac:dyDescent="0.3">
      <c r="A28" s="2" t="s">
        <v>130</v>
      </c>
      <c r="B28" s="2" t="s">
        <v>135</v>
      </c>
      <c r="C28" s="2" t="s">
        <v>9</v>
      </c>
      <c r="D28" s="2" cm="1">
        <f t="array" ref="D2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8" s="2">
        <v>4</v>
      </c>
      <c r="F28" s="2">
        <v>1526</v>
      </c>
      <c r="G28" s="2" t="str" cm="1">
        <f t="array" ref="G2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8" s="2">
        <v>7000</v>
      </c>
      <c r="I28" s="3">
        <f>TabelaFretes[[#This Row],[Valor]]/TabelaFretes[[#This Row],[Quilometragem]]</f>
        <v>4.5871559633027523</v>
      </c>
      <c r="J28" s="3">
        <f>TabelaFretes[[#This Row],[Valor]]/TabelaFretes[[#This Row],[Capacidade]]</f>
        <v>368.42105263157896</v>
      </c>
    </row>
    <row r="29" spans="1:10" x14ac:dyDescent="0.3">
      <c r="A29" s="2" t="s">
        <v>130</v>
      </c>
      <c r="B29" s="2" t="s">
        <v>135</v>
      </c>
      <c r="C29" s="2" t="s">
        <v>6</v>
      </c>
      <c r="D29" s="2" cm="1">
        <f t="array" ref="D2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9" s="2">
        <v>5</v>
      </c>
      <c r="F29" s="2">
        <v>1526</v>
      </c>
      <c r="G29" s="2" t="str" cm="1">
        <f t="array" ref="G2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9" s="2">
        <v>10000</v>
      </c>
      <c r="I29" s="3">
        <f>TabelaFretes[[#This Row],[Valor]]/TabelaFretes[[#This Row],[Quilometragem]]</f>
        <v>6.5530799475753607</v>
      </c>
      <c r="J29" s="3">
        <f>TabelaFretes[[#This Row],[Valor]]/TabelaFretes[[#This Row],[Capacidade]]</f>
        <v>370.37037037037038</v>
      </c>
    </row>
    <row r="30" spans="1:10" x14ac:dyDescent="0.3">
      <c r="A30" s="2" t="s">
        <v>130</v>
      </c>
      <c r="B30" s="2" t="s">
        <v>136</v>
      </c>
      <c r="C30" s="2" t="s">
        <v>7</v>
      </c>
      <c r="D30" s="2" cm="1">
        <f t="array" ref="D3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0" s="2">
        <v>3</v>
      </c>
      <c r="F30" s="2">
        <v>1200</v>
      </c>
      <c r="G30" s="2" t="str" cm="1">
        <f t="array" ref="G3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30" s="2">
        <v>5000</v>
      </c>
      <c r="I30" s="3">
        <f>TabelaFretes[[#This Row],[Valor]]/TabelaFretes[[#This Row],[Quilometragem]]</f>
        <v>4.166666666666667</v>
      </c>
      <c r="J30" s="3">
        <f>TabelaFretes[[#This Row],[Valor]]/TabelaFretes[[#This Row],[Capacidade]]</f>
        <v>357.14285714285717</v>
      </c>
    </row>
    <row r="31" spans="1:10" x14ac:dyDescent="0.3">
      <c r="A31" s="2" t="s">
        <v>130</v>
      </c>
      <c r="B31" s="2" t="s">
        <v>136</v>
      </c>
      <c r="C31" s="2" t="s">
        <v>6</v>
      </c>
      <c r="D31" s="2" cm="1">
        <f t="array" ref="D3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1" s="2">
        <v>5</v>
      </c>
      <c r="F31" s="2">
        <v>1200</v>
      </c>
      <c r="G31" s="2" t="str" cm="1">
        <f t="array" ref="G3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31" s="2">
        <v>8200</v>
      </c>
      <c r="I31" s="3">
        <f>TabelaFretes[[#This Row],[Valor]]/TabelaFretes[[#This Row],[Quilometragem]]</f>
        <v>6.833333333333333</v>
      </c>
      <c r="J31" s="3">
        <f>TabelaFretes[[#This Row],[Valor]]/TabelaFretes[[#This Row],[Capacidade]]</f>
        <v>303.7037037037037</v>
      </c>
    </row>
    <row r="32" spans="1:10" x14ac:dyDescent="0.3">
      <c r="A32" s="2" t="s">
        <v>130</v>
      </c>
      <c r="B32" s="2" t="s">
        <v>137</v>
      </c>
      <c r="C32" s="2" t="s">
        <v>7</v>
      </c>
      <c r="D32" s="2" cm="1">
        <f t="array" ref="D3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2" s="2">
        <v>3</v>
      </c>
      <c r="F32" s="2">
        <v>762</v>
      </c>
      <c r="G32" s="2" t="str" cm="1">
        <f t="array" ref="G3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2" s="2">
        <v>3000</v>
      </c>
      <c r="I32" s="3">
        <f>TabelaFretes[[#This Row],[Valor]]/TabelaFretes[[#This Row],[Quilometragem]]</f>
        <v>3.9370078740157481</v>
      </c>
      <c r="J32" s="3">
        <f>TabelaFretes[[#This Row],[Valor]]/TabelaFretes[[#This Row],[Capacidade]]</f>
        <v>214.28571428571428</v>
      </c>
    </row>
    <row r="33" spans="1:10" x14ac:dyDescent="0.3">
      <c r="A33" s="2" t="s">
        <v>130</v>
      </c>
      <c r="B33" s="2" t="s">
        <v>137</v>
      </c>
      <c r="C33" s="2" t="s">
        <v>9</v>
      </c>
      <c r="D33" s="2" cm="1">
        <f t="array" ref="D3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33" s="2">
        <v>4</v>
      </c>
      <c r="F33" s="2">
        <v>762</v>
      </c>
      <c r="G33" s="2" t="str" cm="1">
        <f t="array" ref="G3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3" s="2">
        <v>4000</v>
      </c>
      <c r="I33" s="3">
        <f>TabelaFretes[[#This Row],[Valor]]/TabelaFretes[[#This Row],[Quilometragem]]</f>
        <v>5.2493438320209975</v>
      </c>
      <c r="J33" s="3">
        <f>TabelaFretes[[#This Row],[Valor]]/TabelaFretes[[#This Row],[Capacidade]]</f>
        <v>210.52631578947367</v>
      </c>
    </row>
    <row r="34" spans="1:10" x14ac:dyDescent="0.3">
      <c r="A34" s="2" t="s">
        <v>130</v>
      </c>
      <c r="B34" s="2" t="s">
        <v>137</v>
      </c>
      <c r="C34" s="2" t="s">
        <v>6</v>
      </c>
      <c r="D34" s="2" cm="1">
        <f t="array" ref="D3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4" s="2">
        <v>5</v>
      </c>
      <c r="F34" s="2">
        <v>762</v>
      </c>
      <c r="G34" s="2" t="str" cm="1">
        <f t="array" ref="G3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4" s="2">
        <v>5500</v>
      </c>
      <c r="I34" s="3">
        <f>TabelaFretes[[#This Row],[Valor]]/TabelaFretes[[#This Row],[Quilometragem]]</f>
        <v>7.2178477690288716</v>
      </c>
      <c r="J34" s="3">
        <f>TabelaFretes[[#This Row],[Valor]]/TabelaFretes[[#This Row],[Capacidade]]</f>
        <v>203.7037037037037</v>
      </c>
    </row>
    <row r="35" spans="1:10" x14ac:dyDescent="0.3">
      <c r="A35" s="2" t="s">
        <v>130</v>
      </c>
      <c r="B35" s="2" t="s">
        <v>138</v>
      </c>
      <c r="C35" s="2" t="s">
        <v>7</v>
      </c>
      <c r="D35" s="2" cm="1">
        <f t="array" ref="D3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5" s="2">
        <v>3</v>
      </c>
      <c r="F35" s="2">
        <v>790</v>
      </c>
      <c r="G35" s="2" t="str" cm="1">
        <f t="array" ref="G3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5" s="2">
        <v>3200</v>
      </c>
      <c r="I35" s="3">
        <f>TabelaFretes[[#This Row],[Valor]]/TabelaFretes[[#This Row],[Quilometragem]]</f>
        <v>4.0506329113924053</v>
      </c>
      <c r="J35" s="3">
        <f>TabelaFretes[[#This Row],[Valor]]/TabelaFretes[[#This Row],[Capacidade]]</f>
        <v>228.57142857142858</v>
      </c>
    </row>
    <row r="36" spans="1:10" x14ac:dyDescent="0.3">
      <c r="A36" s="2" t="s">
        <v>130</v>
      </c>
      <c r="B36" s="2" t="s">
        <v>138</v>
      </c>
      <c r="C36" s="2" t="s">
        <v>6</v>
      </c>
      <c r="D36" s="2" cm="1">
        <f t="array" ref="D3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6" s="2">
        <v>5</v>
      </c>
      <c r="F36" s="2">
        <v>790</v>
      </c>
      <c r="G36" s="2" t="str" cm="1">
        <f t="array" ref="G3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6" s="2">
        <v>5500</v>
      </c>
      <c r="I36" s="3">
        <f>TabelaFretes[[#This Row],[Valor]]/TabelaFretes[[#This Row],[Quilometragem]]</f>
        <v>6.962025316455696</v>
      </c>
      <c r="J36" s="3">
        <f>TabelaFretes[[#This Row],[Valor]]/TabelaFretes[[#This Row],[Capacidade]]</f>
        <v>203.7037037037037</v>
      </c>
    </row>
    <row r="37" spans="1:10" x14ac:dyDescent="0.3">
      <c r="A37" s="2" t="s">
        <v>130</v>
      </c>
      <c r="B37" s="2" t="s">
        <v>139</v>
      </c>
      <c r="C37" s="2" t="s">
        <v>7</v>
      </c>
      <c r="D37" s="2" cm="1">
        <f t="array" ref="D3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7" s="2">
        <v>3</v>
      </c>
      <c r="F37" s="2">
        <v>766</v>
      </c>
      <c r="G37" s="2" t="str" cm="1">
        <f t="array" ref="G3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7" s="2">
        <v>3500</v>
      </c>
      <c r="I37" s="3">
        <f>TabelaFretes[[#This Row],[Valor]]/TabelaFretes[[#This Row],[Quilometragem]]</f>
        <v>4.5691906005221936</v>
      </c>
      <c r="J37" s="3">
        <f>TabelaFretes[[#This Row],[Valor]]/TabelaFretes[[#This Row],[Capacidade]]</f>
        <v>250</v>
      </c>
    </row>
    <row r="38" spans="1:10" x14ac:dyDescent="0.3">
      <c r="A38" s="2" t="s">
        <v>130</v>
      </c>
      <c r="B38" s="2" t="s">
        <v>140</v>
      </c>
      <c r="C38" s="2" t="s">
        <v>7</v>
      </c>
      <c r="D38" s="2" cm="1">
        <f t="array" ref="D3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8" s="2">
        <v>3</v>
      </c>
      <c r="F38" s="2">
        <v>831</v>
      </c>
      <c r="G38" s="2" t="str" cm="1">
        <f t="array" ref="G3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8" s="2">
        <v>3500</v>
      </c>
      <c r="I38" s="3">
        <f>TabelaFretes[[#This Row],[Valor]]/TabelaFretes[[#This Row],[Quilometragem]]</f>
        <v>4.2117930204572804</v>
      </c>
      <c r="J38" s="3">
        <f>TabelaFretes[[#This Row],[Valor]]/TabelaFretes[[#This Row],[Capacidade]]</f>
        <v>250</v>
      </c>
    </row>
    <row r="39" spans="1:10" x14ac:dyDescent="0.3">
      <c r="A39" s="2" t="s">
        <v>130</v>
      </c>
      <c r="B39" s="2" t="s">
        <v>140</v>
      </c>
      <c r="C39" s="2" t="s">
        <v>6</v>
      </c>
      <c r="D39" s="2" cm="1">
        <f t="array" ref="D3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9" s="2">
        <v>5</v>
      </c>
      <c r="F39" s="2">
        <v>831</v>
      </c>
      <c r="G39" s="2" t="str" cm="1">
        <f t="array" ref="G3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9" s="2">
        <v>5500</v>
      </c>
      <c r="I39" s="3">
        <f>TabelaFretes[[#This Row],[Valor]]/TabelaFretes[[#This Row],[Quilometragem]]</f>
        <v>6.6185318892900122</v>
      </c>
      <c r="J39" s="3">
        <f>TabelaFretes[[#This Row],[Valor]]/TabelaFretes[[#This Row],[Capacidade]]</f>
        <v>203.7037037037037</v>
      </c>
    </row>
    <row r="40" spans="1:10" x14ac:dyDescent="0.3">
      <c r="A40" s="2" t="s">
        <v>130</v>
      </c>
      <c r="B40" s="2" t="s">
        <v>141</v>
      </c>
      <c r="C40" s="2" t="s">
        <v>7</v>
      </c>
      <c r="D40" s="2" cm="1">
        <f t="array" ref="D4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0" s="2">
        <v>3</v>
      </c>
      <c r="F40" s="2">
        <v>754</v>
      </c>
      <c r="G40" s="2" t="str" cm="1">
        <f t="array" ref="G4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0" s="2">
        <v>3000</v>
      </c>
      <c r="I40" s="3">
        <f>TabelaFretes[[#This Row],[Valor]]/TabelaFretes[[#This Row],[Quilometragem]]</f>
        <v>3.9787798408488064</v>
      </c>
      <c r="J40" s="3">
        <f>TabelaFretes[[#This Row],[Valor]]/TabelaFretes[[#This Row],[Capacidade]]</f>
        <v>214.28571428571428</v>
      </c>
    </row>
    <row r="41" spans="1:10" x14ac:dyDescent="0.3">
      <c r="A41" s="2" t="s">
        <v>130</v>
      </c>
      <c r="B41" s="2" t="s">
        <v>141</v>
      </c>
      <c r="C41" s="2" t="s">
        <v>6</v>
      </c>
      <c r="D41" s="2" cm="1">
        <f t="array" ref="D4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1" s="2">
        <v>5</v>
      </c>
      <c r="F41" s="2">
        <v>752</v>
      </c>
      <c r="G41" s="2" t="str" cm="1">
        <f t="array" ref="G4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1" s="2">
        <v>5500</v>
      </c>
      <c r="I41" s="3">
        <f>TabelaFretes[[#This Row],[Valor]]/TabelaFretes[[#This Row],[Quilometragem]]</f>
        <v>7.3138297872340425</v>
      </c>
      <c r="J41" s="3">
        <f>TabelaFretes[[#This Row],[Valor]]/TabelaFretes[[#This Row],[Capacidade]]</f>
        <v>203.7037037037037</v>
      </c>
    </row>
    <row r="42" spans="1:10" x14ac:dyDescent="0.3">
      <c r="A42" s="2" t="s">
        <v>130</v>
      </c>
      <c r="B42" s="2" t="s">
        <v>142</v>
      </c>
      <c r="C42" s="2" t="s">
        <v>7</v>
      </c>
      <c r="D42" s="2" cm="1">
        <f t="array" ref="D4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2" s="2">
        <v>3</v>
      </c>
      <c r="F42" s="2">
        <v>1460</v>
      </c>
      <c r="G42" s="2" t="str" cm="1">
        <f t="array" ref="G4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42" s="2">
        <v>5400</v>
      </c>
      <c r="I42" s="3">
        <f>TabelaFretes[[#This Row],[Valor]]/TabelaFretes[[#This Row],[Quilometragem]]</f>
        <v>3.6986301369863015</v>
      </c>
      <c r="J42" s="3">
        <f>TabelaFretes[[#This Row],[Valor]]/TabelaFretes[[#This Row],[Capacidade]]</f>
        <v>385.71428571428572</v>
      </c>
    </row>
    <row r="43" spans="1:10" x14ac:dyDescent="0.3">
      <c r="A43" s="2" t="s">
        <v>130</v>
      </c>
      <c r="B43" s="2" t="s">
        <v>142</v>
      </c>
      <c r="C43" s="2" t="s">
        <v>6</v>
      </c>
      <c r="D43" s="2" cm="1">
        <f t="array" ref="D4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3" s="2">
        <v>5</v>
      </c>
      <c r="F43" s="2">
        <v>1460</v>
      </c>
      <c r="G43" s="2" t="str" cm="1">
        <f t="array" ref="G4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43" s="2">
        <v>10000</v>
      </c>
      <c r="I43" s="3">
        <f>TabelaFretes[[#This Row],[Valor]]/TabelaFretes[[#This Row],[Quilometragem]]</f>
        <v>6.8493150684931505</v>
      </c>
      <c r="J43" s="3">
        <f>TabelaFretes[[#This Row],[Valor]]/TabelaFretes[[#This Row],[Capacidade]]</f>
        <v>370.37037037037038</v>
      </c>
    </row>
    <row r="44" spans="1:10" x14ac:dyDescent="0.3">
      <c r="A44" s="2" t="s">
        <v>130</v>
      </c>
      <c r="B44" s="2" t="s">
        <v>143</v>
      </c>
      <c r="C44" s="2" t="s">
        <v>7</v>
      </c>
      <c r="D44" s="2" cm="1">
        <f t="array" ref="D4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4" s="2">
        <v>3</v>
      </c>
      <c r="F44" s="2">
        <v>815</v>
      </c>
      <c r="G44" s="2" t="str" cm="1">
        <f t="array" ref="G4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4" s="2">
        <v>3500</v>
      </c>
      <c r="I44" s="3">
        <f>TabelaFretes[[#This Row],[Valor]]/TabelaFretes[[#This Row],[Quilometragem]]</f>
        <v>4.294478527607362</v>
      </c>
      <c r="J44" s="3">
        <f>TabelaFretes[[#This Row],[Valor]]/TabelaFretes[[#This Row],[Capacidade]]</f>
        <v>250</v>
      </c>
    </row>
    <row r="45" spans="1:10" x14ac:dyDescent="0.3">
      <c r="A45" s="2" t="s">
        <v>130</v>
      </c>
      <c r="B45" s="2" t="s">
        <v>143</v>
      </c>
      <c r="C45" s="2" t="s">
        <v>6</v>
      </c>
      <c r="D45" s="2" cm="1">
        <f t="array" ref="D4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5" s="2">
        <v>5</v>
      </c>
      <c r="F45" s="2">
        <v>815</v>
      </c>
      <c r="G45" s="2" t="str" cm="1">
        <f t="array" ref="G4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5" s="2">
        <v>6000</v>
      </c>
      <c r="I45" s="3">
        <f>TabelaFretes[[#This Row],[Valor]]/TabelaFretes[[#This Row],[Quilometragem]]</f>
        <v>7.3619631901840492</v>
      </c>
      <c r="J45" s="3">
        <f>TabelaFretes[[#This Row],[Valor]]/TabelaFretes[[#This Row],[Capacidade]]</f>
        <v>222.22222222222223</v>
      </c>
    </row>
    <row r="46" spans="1:10" x14ac:dyDescent="0.3">
      <c r="A46" s="2" t="s">
        <v>130</v>
      </c>
      <c r="B46" s="2" t="s">
        <v>144</v>
      </c>
      <c r="C46" s="2" t="s">
        <v>7</v>
      </c>
      <c r="D46" s="2" cm="1">
        <f t="array" ref="D4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6" s="2">
        <v>3</v>
      </c>
      <c r="F46" s="2">
        <v>1312</v>
      </c>
      <c r="G46" s="2" t="str" cm="1">
        <f t="array" ref="G4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46" s="2">
        <v>5000</v>
      </c>
      <c r="I46" s="3">
        <f>TabelaFretes[[#This Row],[Valor]]/TabelaFretes[[#This Row],[Quilometragem]]</f>
        <v>3.8109756097560976</v>
      </c>
      <c r="J46" s="3">
        <f>TabelaFretes[[#This Row],[Valor]]/TabelaFretes[[#This Row],[Capacidade]]</f>
        <v>357.14285714285717</v>
      </c>
    </row>
    <row r="47" spans="1:10" x14ac:dyDescent="0.3">
      <c r="A47" s="2" t="s">
        <v>130</v>
      </c>
      <c r="B47" s="2" t="s">
        <v>144</v>
      </c>
      <c r="C47" s="2" t="s">
        <v>6</v>
      </c>
      <c r="D47" s="2" cm="1">
        <f t="array" ref="D4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7" s="2">
        <v>5</v>
      </c>
      <c r="F47" s="2">
        <v>1312</v>
      </c>
      <c r="G47" s="2" t="str" cm="1">
        <f t="array" ref="G4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47" s="2">
        <v>9500</v>
      </c>
      <c r="I47" s="3">
        <f>TabelaFretes[[#This Row],[Valor]]/TabelaFretes[[#This Row],[Quilometragem]]</f>
        <v>7.2408536585365857</v>
      </c>
      <c r="J47" s="3">
        <f>TabelaFretes[[#This Row],[Valor]]/TabelaFretes[[#This Row],[Capacidade]]</f>
        <v>351.85185185185185</v>
      </c>
    </row>
    <row r="48" spans="1:10" x14ac:dyDescent="0.3">
      <c r="A48" s="2" t="s">
        <v>130</v>
      </c>
      <c r="B48" s="2" t="s">
        <v>145</v>
      </c>
      <c r="C48" s="2" t="s">
        <v>7</v>
      </c>
      <c r="D48" s="2" cm="1">
        <f t="array" ref="D4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8" s="2">
        <v>3</v>
      </c>
      <c r="F48" s="2">
        <v>780</v>
      </c>
      <c r="G48" s="2" t="str" cm="1">
        <f t="array" ref="G4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8" s="2">
        <v>3000</v>
      </c>
      <c r="I48" s="3">
        <f>TabelaFretes[[#This Row],[Valor]]/TabelaFretes[[#This Row],[Quilometragem]]</f>
        <v>3.8461538461538463</v>
      </c>
      <c r="J48" s="3">
        <f>TabelaFretes[[#This Row],[Valor]]/TabelaFretes[[#This Row],[Capacidade]]</f>
        <v>214.28571428571428</v>
      </c>
    </row>
    <row r="49" spans="1:10" x14ac:dyDescent="0.3">
      <c r="A49" s="2" t="s">
        <v>130</v>
      </c>
      <c r="B49" s="2" t="s">
        <v>145</v>
      </c>
      <c r="C49" s="2" t="s">
        <v>9</v>
      </c>
      <c r="D49" s="2" cm="1">
        <f t="array" ref="D4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49" s="2">
        <v>4</v>
      </c>
      <c r="F49" s="2">
        <v>780</v>
      </c>
      <c r="G49" s="2" t="str" cm="1">
        <f t="array" ref="G4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9" s="2">
        <v>4000</v>
      </c>
      <c r="I49" s="3">
        <f>TabelaFretes[[#This Row],[Valor]]/TabelaFretes[[#This Row],[Quilometragem]]</f>
        <v>5.1282051282051286</v>
      </c>
      <c r="J49" s="3">
        <f>TabelaFretes[[#This Row],[Valor]]/TabelaFretes[[#This Row],[Capacidade]]</f>
        <v>210.52631578947367</v>
      </c>
    </row>
    <row r="50" spans="1:10" x14ac:dyDescent="0.3">
      <c r="A50" s="2" t="s">
        <v>130</v>
      </c>
      <c r="B50" s="2" t="s">
        <v>145</v>
      </c>
      <c r="C50" s="2" t="s">
        <v>6</v>
      </c>
      <c r="D50" s="2" cm="1">
        <f t="array" ref="D5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0" s="2">
        <v>5</v>
      </c>
      <c r="F50" s="2">
        <v>780</v>
      </c>
      <c r="G50" s="2" t="str" cm="1">
        <f t="array" ref="G5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50" s="2">
        <v>5500</v>
      </c>
      <c r="I50" s="3">
        <f>TabelaFretes[[#This Row],[Valor]]/TabelaFretes[[#This Row],[Quilometragem]]</f>
        <v>7.0512820512820511</v>
      </c>
      <c r="J50" s="3">
        <f>TabelaFretes[[#This Row],[Valor]]/TabelaFretes[[#This Row],[Capacidade]]</f>
        <v>203.7037037037037</v>
      </c>
    </row>
    <row r="51" spans="1:10" x14ac:dyDescent="0.3">
      <c r="A51" s="2" t="s">
        <v>130</v>
      </c>
      <c r="B51" s="2" t="s">
        <v>146</v>
      </c>
      <c r="C51" s="2" t="s">
        <v>7</v>
      </c>
      <c r="D51" s="2" cm="1">
        <f t="array" ref="D5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1" s="2">
        <v>3</v>
      </c>
      <c r="F51" s="2">
        <v>1429</v>
      </c>
      <c r="G51" s="2" t="str" cm="1">
        <f t="array" ref="G5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51" s="2">
        <v>5300</v>
      </c>
      <c r="I51" s="3">
        <f>TabelaFretes[[#This Row],[Valor]]/TabelaFretes[[#This Row],[Quilometragem]]</f>
        <v>3.70888733379986</v>
      </c>
      <c r="J51" s="3">
        <f>TabelaFretes[[#This Row],[Valor]]/TabelaFretes[[#This Row],[Capacidade]]</f>
        <v>378.57142857142856</v>
      </c>
    </row>
    <row r="52" spans="1:10" x14ac:dyDescent="0.3">
      <c r="A52" s="2" t="s">
        <v>130</v>
      </c>
      <c r="B52" s="2" t="s">
        <v>146</v>
      </c>
      <c r="C52" s="2" t="s">
        <v>6</v>
      </c>
      <c r="D52" s="2" cm="1">
        <f t="array" ref="D5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2" s="2">
        <v>5</v>
      </c>
      <c r="F52" s="2">
        <v>1429</v>
      </c>
      <c r="G52" s="2" t="str" cm="1">
        <f t="array" ref="G5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52" s="2">
        <v>10000</v>
      </c>
      <c r="I52" s="3">
        <f>TabelaFretes[[#This Row],[Valor]]/TabelaFretes[[#This Row],[Quilometragem]]</f>
        <v>6.9979006298110571</v>
      </c>
      <c r="J52" s="3">
        <f>TabelaFretes[[#This Row],[Valor]]/TabelaFretes[[#This Row],[Capacidade]]</f>
        <v>370.37037037037038</v>
      </c>
    </row>
    <row r="53" spans="1:10" x14ac:dyDescent="0.3">
      <c r="A53" s="2" t="s">
        <v>130</v>
      </c>
      <c r="B53" s="2" t="s">
        <v>147</v>
      </c>
      <c r="C53" s="2" t="s">
        <v>7</v>
      </c>
      <c r="D53" s="2" cm="1">
        <f t="array" ref="D5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3" s="2">
        <v>3</v>
      </c>
      <c r="F53" s="2">
        <v>1341</v>
      </c>
      <c r="G53" s="2" t="str" cm="1">
        <f t="array" ref="G5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53" s="2">
        <v>5000</v>
      </c>
      <c r="I53" s="3">
        <f>TabelaFretes[[#This Row],[Valor]]/TabelaFretes[[#This Row],[Quilometragem]]</f>
        <v>3.7285607755406414</v>
      </c>
      <c r="J53" s="3">
        <f>TabelaFretes[[#This Row],[Valor]]/TabelaFretes[[#This Row],[Capacidade]]</f>
        <v>357.14285714285717</v>
      </c>
    </row>
    <row r="54" spans="1:10" x14ac:dyDescent="0.3">
      <c r="A54" s="2" t="s">
        <v>130</v>
      </c>
      <c r="B54" s="2" t="s">
        <v>147</v>
      </c>
      <c r="C54" s="2" t="s">
        <v>6</v>
      </c>
      <c r="D54" s="2" cm="1">
        <f t="array" ref="D5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4" s="2">
        <v>5</v>
      </c>
      <c r="F54" s="2">
        <v>1341</v>
      </c>
      <c r="G54" s="2" t="str" cm="1">
        <f t="array" ref="G5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54" s="2">
        <v>9000</v>
      </c>
      <c r="I54" s="3">
        <f>TabelaFretes[[#This Row],[Valor]]/TabelaFretes[[#This Row],[Quilometragem]]</f>
        <v>6.7114093959731544</v>
      </c>
      <c r="J54" s="3">
        <f>TabelaFretes[[#This Row],[Valor]]/TabelaFretes[[#This Row],[Capacidade]]</f>
        <v>333.33333333333331</v>
      </c>
    </row>
    <row r="55" spans="1:10" x14ac:dyDescent="0.3">
      <c r="A55" s="2" t="s">
        <v>130</v>
      </c>
      <c r="B55" s="2" t="s">
        <v>148</v>
      </c>
      <c r="C55" s="2" t="s">
        <v>7</v>
      </c>
      <c r="D55" s="2" cm="1">
        <f t="array" ref="D5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5" s="2">
        <v>3</v>
      </c>
      <c r="F55" s="2">
        <v>1118</v>
      </c>
      <c r="G55" s="2" t="str" cm="1">
        <f t="array" ref="G5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55" s="2">
        <v>5000</v>
      </c>
      <c r="I55" s="3">
        <f>TabelaFretes[[#This Row],[Valor]]/TabelaFretes[[#This Row],[Quilometragem]]</f>
        <v>4.4722719141323797</v>
      </c>
      <c r="J55" s="3">
        <f>TabelaFretes[[#This Row],[Valor]]/TabelaFretes[[#This Row],[Capacidade]]</f>
        <v>357.14285714285717</v>
      </c>
    </row>
    <row r="56" spans="1:10" x14ac:dyDescent="0.3">
      <c r="A56" s="2" t="s">
        <v>130</v>
      </c>
      <c r="B56" s="2" t="s">
        <v>148</v>
      </c>
      <c r="C56" s="2" t="s">
        <v>6</v>
      </c>
      <c r="D56" s="2" cm="1">
        <f t="array" ref="D5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6" s="2">
        <v>5</v>
      </c>
      <c r="F56" s="2">
        <v>1118</v>
      </c>
      <c r="G56" s="2" t="str" cm="1">
        <f t="array" ref="G5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56" s="2">
        <v>8200</v>
      </c>
      <c r="I56" s="3">
        <f>TabelaFretes[[#This Row],[Valor]]/TabelaFretes[[#This Row],[Quilometragem]]</f>
        <v>7.3345259391771016</v>
      </c>
      <c r="J56" s="3">
        <f>TabelaFretes[[#This Row],[Valor]]/TabelaFretes[[#This Row],[Capacidade]]</f>
        <v>303.7037037037037</v>
      </c>
    </row>
    <row r="57" spans="1:10" x14ac:dyDescent="0.3">
      <c r="A57" s="2" t="s">
        <v>130</v>
      </c>
      <c r="B57" s="2" t="s">
        <v>149</v>
      </c>
      <c r="C57" s="2" t="s">
        <v>7</v>
      </c>
      <c r="D57" s="2" cm="1">
        <f t="array" ref="D5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7" s="2">
        <v>3</v>
      </c>
      <c r="F57" s="2">
        <v>1100</v>
      </c>
      <c r="G57" s="2" t="str" cm="1">
        <f t="array" ref="G5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57" s="2">
        <v>4500</v>
      </c>
      <c r="I57" s="3">
        <f>TabelaFretes[[#This Row],[Valor]]/TabelaFretes[[#This Row],[Quilometragem]]</f>
        <v>4.0909090909090908</v>
      </c>
      <c r="J57" s="3">
        <f>TabelaFretes[[#This Row],[Valor]]/TabelaFretes[[#This Row],[Capacidade]]</f>
        <v>321.42857142857144</v>
      </c>
    </row>
    <row r="58" spans="1:10" x14ac:dyDescent="0.3">
      <c r="A58" s="2" t="s">
        <v>130</v>
      </c>
      <c r="B58" s="2" t="s">
        <v>149</v>
      </c>
      <c r="C58" s="2" t="s">
        <v>9</v>
      </c>
      <c r="D58" s="2" cm="1">
        <f t="array" ref="D5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58" s="2">
        <v>4</v>
      </c>
      <c r="F58" s="2">
        <v>1100</v>
      </c>
      <c r="G58" s="2" t="str" cm="1">
        <f t="array" ref="G5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58" s="2">
        <v>5800</v>
      </c>
      <c r="I58" s="3">
        <f>TabelaFretes[[#This Row],[Valor]]/TabelaFretes[[#This Row],[Quilometragem]]</f>
        <v>5.2727272727272725</v>
      </c>
      <c r="J58" s="3">
        <f>TabelaFretes[[#This Row],[Valor]]/TabelaFretes[[#This Row],[Capacidade]]</f>
        <v>305.26315789473682</v>
      </c>
    </row>
    <row r="59" spans="1:10" x14ac:dyDescent="0.3">
      <c r="A59" s="2" t="s">
        <v>130</v>
      </c>
      <c r="B59" s="2" t="s">
        <v>149</v>
      </c>
      <c r="C59" s="2" t="s">
        <v>6</v>
      </c>
      <c r="D59" s="2" cm="1">
        <f t="array" ref="D5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9" s="2">
        <v>5</v>
      </c>
      <c r="F59" s="2">
        <v>1100</v>
      </c>
      <c r="G59" s="2" t="str" cm="1">
        <f t="array" ref="G5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59" s="2">
        <v>8000</v>
      </c>
      <c r="I59" s="3">
        <f>TabelaFretes[[#This Row],[Valor]]/TabelaFretes[[#This Row],[Quilometragem]]</f>
        <v>7.2727272727272725</v>
      </c>
      <c r="J59" s="3">
        <f>TabelaFretes[[#This Row],[Valor]]/TabelaFretes[[#This Row],[Capacidade]]</f>
        <v>296.2962962962963</v>
      </c>
    </row>
    <row r="60" spans="1:10" x14ac:dyDescent="0.3">
      <c r="A60" s="2" t="s">
        <v>130</v>
      </c>
      <c r="B60" s="2" t="s">
        <v>149</v>
      </c>
      <c r="C60" s="2" t="s">
        <v>6</v>
      </c>
      <c r="D60" s="2" cm="1">
        <f t="array" ref="D6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60" s="2">
        <v>6</v>
      </c>
      <c r="F60" s="2">
        <v>1100</v>
      </c>
      <c r="G60" s="2" t="str" cm="1">
        <f t="array" ref="G6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60" s="2">
        <v>8000</v>
      </c>
      <c r="I60" s="3">
        <f>TabelaFretes[[#This Row],[Valor]]/TabelaFretes[[#This Row],[Quilometragem]]</f>
        <v>7.2727272727272725</v>
      </c>
      <c r="J60" s="3">
        <f>TabelaFretes[[#This Row],[Valor]]/TabelaFretes[[#This Row],[Capacidade]]</f>
        <v>296.2962962962963</v>
      </c>
    </row>
    <row r="61" spans="1:10" x14ac:dyDescent="0.3">
      <c r="A61" s="2" t="s">
        <v>130</v>
      </c>
      <c r="B61" s="2" t="s">
        <v>150</v>
      </c>
      <c r="C61" s="2" t="s">
        <v>7</v>
      </c>
      <c r="D61" s="2" cm="1">
        <f t="array" ref="D6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61" s="2">
        <v>3</v>
      </c>
      <c r="F61" s="2">
        <v>798</v>
      </c>
      <c r="G61" s="2" t="str" cm="1">
        <f t="array" ref="G6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61" s="2">
        <v>3200</v>
      </c>
      <c r="I61" s="3">
        <f>TabelaFretes[[#This Row],[Valor]]/TabelaFretes[[#This Row],[Quilometragem]]</f>
        <v>4.0100250626566414</v>
      </c>
      <c r="J61" s="3">
        <f>TabelaFretes[[#This Row],[Valor]]/TabelaFretes[[#This Row],[Capacidade]]</f>
        <v>228.57142857142858</v>
      </c>
    </row>
    <row r="62" spans="1:10" x14ac:dyDescent="0.3">
      <c r="A62" s="2" t="s">
        <v>130</v>
      </c>
      <c r="B62" s="2" t="s">
        <v>151</v>
      </c>
      <c r="C62" s="2" t="s">
        <v>7</v>
      </c>
      <c r="D62" s="2" cm="1">
        <f t="array" ref="D6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62" s="2">
        <v>3</v>
      </c>
      <c r="F62" s="2">
        <v>975</v>
      </c>
      <c r="G62" s="2" t="str" cm="1">
        <f t="array" ref="G6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62" s="2">
        <v>5300</v>
      </c>
      <c r="I62" s="3">
        <f>TabelaFretes[[#This Row],[Valor]]/TabelaFretes[[#This Row],[Quilometragem]]</f>
        <v>5.4358974358974361</v>
      </c>
      <c r="J62" s="3">
        <f>TabelaFretes[[#This Row],[Valor]]/TabelaFretes[[#This Row],[Capacidade]]</f>
        <v>378.57142857142856</v>
      </c>
    </row>
    <row r="63" spans="1:10" x14ac:dyDescent="0.3">
      <c r="A63" s="2" t="s">
        <v>130</v>
      </c>
      <c r="B63" s="2" t="s">
        <v>151</v>
      </c>
      <c r="C63" s="2" t="s">
        <v>6</v>
      </c>
      <c r="D63" s="2" cm="1">
        <f t="array" ref="D6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63" s="2">
        <v>5</v>
      </c>
      <c r="F63" s="2">
        <v>975</v>
      </c>
      <c r="G63" s="2" t="str" cm="1">
        <f t="array" ref="G6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63" s="2">
        <v>7000</v>
      </c>
      <c r="I63" s="3">
        <f>TabelaFretes[[#This Row],[Valor]]/TabelaFretes[[#This Row],[Quilometragem]]</f>
        <v>7.1794871794871797</v>
      </c>
      <c r="J63" s="3">
        <f>TabelaFretes[[#This Row],[Valor]]/TabelaFretes[[#This Row],[Capacidade]]</f>
        <v>259.25925925925924</v>
      </c>
    </row>
    <row r="64" spans="1:10" x14ac:dyDescent="0.3">
      <c r="A64" s="2" t="s">
        <v>130</v>
      </c>
      <c r="B64" s="2" t="s">
        <v>152</v>
      </c>
      <c r="C64" s="2" t="s">
        <v>7</v>
      </c>
      <c r="D64" s="2" cm="1">
        <f t="array" ref="D6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64" s="2">
        <v>3</v>
      </c>
      <c r="F64" s="2">
        <v>1030</v>
      </c>
      <c r="G64" s="2" t="str" cm="1">
        <f t="array" ref="G6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64" s="2">
        <v>4500</v>
      </c>
      <c r="I64" s="3">
        <f>TabelaFretes[[#This Row],[Valor]]/TabelaFretes[[#This Row],[Quilometragem]]</f>
        <v>4.3689320388349513</v>
      </c>
      <c r="J64" s="3">
        <f>TabelaFretes[[#This Row],[Valor]]/TabelaFretes[[#This Row],[Capacidade]]</f>
        <v>321.42857142857144</v>
      </c>
    </row>
    <row r="65" spans="1:10" x14ac:dyDescent="0.3">
      <c r="A65" s="2" t="s">
        <v>130</v>
      </c>
      <c r="B65" s="2" t="s">
        <v>153</v>
      </c>
      <c r="C65" s="2" t="s">
        <v>7</v>
      </c>
      <c r="D65" s="2" cm="1">
        <f t="array" ref="D6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65" s="2">
        <v>3</v>
      </c>
      <c r="F65" s="2">
        <v>518</v>
      </c>
      <c r="G65" s="2" t="str" cm="1">
        <f t="array" ref="G6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65" s="2">
        <v>3200</v>
      </c>
      <c r="I65" s="3">
        <f>TabelaFretes[[#This Row],[Valor]]/TabelaFretes[[#This Row],[Quilometragem]]</f>
        <v>6.1776061776061777</v>
      </c>
      <c r="J65" s="3">
        <f>TabelaFretes[[#This Row],[Valor]]/TabelaFretes[[#This Row],[Capacidade]]</f>
        <v>228.57142857142858</v>
      </c>
    </row>
    <row r="66" spans="1:10" x14ac:dyDescent="0.3">
      <c r="A66" s="2" t="s">
        <v>130</v>
      </c>
      <c r="B66" s="2" t="s">
        <v>154</v>
      </c>
      <c r="C66" s="2" t="s">
        <v>7</v>
      </c>
      <c r="D66" s="2" cm="1">
        <f t="array" ref="D6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66" s="2">
        <v>3</v>
      </c>
      <c r="F66" s="2">
        <v>725</v>
      </c>
      <c r="G66" s="2" t="str" cm="1">
        <f t="array" ref="G6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66" s="2">
        <v>2700</v>
      </c>
      <c r="I66" s="3">
        <f>TabelaFretes[[#This Row],[Valor]]/TabelaFretes[[#This Row],[Quilometragem]]</f>
        <v>3.7241379310344827</v>
      </c>
      <c r="J66" s="3">
        <f>TabelaFretes[[#This Row],[Valor]]/TabelaFretes[[#This Row],[Capacidade]]</f>
        <v>192.85714285714286</v>
      </c>
    </row>
    <row r="67" spans="1:10" x14ac:dyDescent="0.3">
      <c r="A67" s="2" t="s">
        <v>130</v>
      </c>
      <c r="B67" s="2" t="s">
        <v>154</v>
      </c>
      <c r="C67" s="2" t="s">
        <v>9</v>
      </c>
      <c r="D67" s="2" cm="1">
        <f t="array" ref="D6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67" s="2">
        <v>4</v>
      </c>
      <c r="F67" s="2">
        <v>725</v>
      </c>
      <c r="G67" s="2" t="str" cm="1">
        <f t="array" ref="G6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67" s="2">
        <v>3600</v>
      </c>
      <c r="I67" s="3">
        <f>TabelaFretes[[#This Row],[Valor]]/TabelaFretes[[#This Row],[Quilometragem]]</f>
        <v>4.9655172413793105</v>
      </c>
      <c r="J67" s="3">
        <f>TabelaFretes[[#This Row],[Valor]]/TabelaFretes[[#This Row],[Capacidade]]</f>
        <v>189.47368421052633</v>
      </c>
    </row>
    <row r="68" spans="1:10" x14ac:dyDescent="0.3">
      <c r="A68" s="2" t="s">
        <v>130</v>
      </c>
      <c r="B68" s="2" t="s">
        <v>154</v>
      </c>
      <c r="C68" s="2" t="s">
        <v>6</v>
      </c>
      <c r="D68" s="2" cm="1">
        <f t="array" ref="D6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68" s="2">
        <v>5</v>
      </c>
      <c r="F68" s="2">
        <v>725</v>
      </c>
      <c r="G68" s="2" t="str" cm="1">
        <f t="array" ref="G6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68" s="2">
        <v>5000</v>
      </c>
      <c r="I68" s="3">
        <f>TabelaFretes[[#This Row],[Valor]]/TabelaFretes[[#This Row],[Quilometragem]]</f>
        <v>6.8965517241379306</v>
      </c>
      <c r="J68" s="3">
        <f>TabelaFretes[[#This Row],[Valor]]/TabelaFretes[[#This Row],[Capacidade]]</f>
        <v>185.18518518518519</v>
      </c>
    </row>
    <row r="69" spans="1:10" x14ac:dyDescent="0.3">
      <c r="A69" s="2" t="s">
        <v>130</v>
      </c>
      <c r="B69" s="2" t="s">
        <v>155</v>
      </c>
      <c r="C69" s="2" t="s">
        <v>7</v>
      </c>
      <c r="D69" s="2" cm="1">
        <f t="array" ref="D6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69" s="2">
        <v>3</v>
      </c>
      <c r="F69" s="2">
        <v>1139</v>
      </c>
      <c r="G69" s="2" t="str" cm="1">
        <f t="array" ref="G6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69" s="2">
        <v>4600</v>
      </c>
      <c r="I69" s="3">
        <f>TabelaFretes[[#This Row],[Valor]]/TabelaFretes[[#This Row],[Quilometragem]]</f>
        <v>4.0386303775241439</v>
      </c>
      <c r="J69" s="3">
        <f>TabelaFretes[[#This Row],[Valor]]/TabelaFretes[[#This Row],[Capacidade]]</f>
        <v>328.57142857142856</v>
      </c>
    </row>
    <row r="70" spans="1:10" x14ac:dyDescent="0.3">
      <c r="A70" s="2" t="s">
        <v>130</v>
      </c>
      <c r="B70" s="2" t="s">
        <v>156</v>
      </c>
      <c r="C70" s="2" t="s">
        <v>7</v>
      </c>
      <c r="D70" s="2" cm="1">
        <f t="array" ref="D7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70" s="2">
        <v>3</v>
      </c>
      <c r="F70" s="2">
        <v>1618</v>
      </c>
      <c r="G70" s="2" t="str" cm="1">
        <f t="array" ref="G7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70" s="2">
        <v>5500</v>
      </c>
      <c r="I70" s="3">
        <f>TabelaFretes[[#This Row],[Valor]]/TabelaFretes[[#This Row],[Quilometragem]]</f>
        <v>3.3992583436341164</v>
      </c>
      <c r="J70" s="3">
        <f>TabelaFretes[[#This Row],[Valor]]/TabelaFretes[[#This Row],[Capacidade]]</f>
        <v>392.85714285714283</v>
      </c>
    </row>
    <row r="71" spans="1:10" x14ac:dyDescent="0.3">
      <c r="A71" s="2" t="s">
        <v>130</v>
      </c>
      <c r="B71" s="2" t="s">
        <v>156</v>
      </c>
      <c r="C71" s="2" t="s">
        <v>6</v>
      </c>
      <c r="D71" s="2" cm="1">
        <f t="array" ref="D7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71" s="2">
        <v>5</v>
      </c>
      <c r="F71" s="2">
        <v>1618</v>
      </c>
      <c r="G71" s="2" t="str" cm="1">
        <f t="array" ref="G7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71" s="2">
        <v>10000</v>
      </c>
      <c r="I71" s="3">
        <f>TabelaFretes[[#This Row],[Valor]]/TabelaFretes[[#This Row],[Quilometragem]]</f>
        <v>6.1804697156983934</v>
      </c>
      <c r="J71" s="3">
        <f>TabelaFretes[[#This Row],[Valor]]/TabelaFretes[[#This Row],[Capacidade]]</f>
        <v>370.37037037037038</v>
      </c>
    </row>
    <row r="72" spans="1:10" x14ac:dyDescent="0.3">
      <c r="A72" s="2" t="s">
        <v>130</v>
      </c>
      <c r="B72" s="2" t="s">
        <v>157</v>
      </c>
      <c r="C72" s="2" t="s">
        <v>7</v>
      </c>
      <c r="D72" s="2" cm="1">
        <f t="array" ref="D7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72" s="2">
        <v>3</v>
      </c>
      <c r="F72" s="2">
        <v>1284</v>
      </c>
      <c r="G72" s="2" t="str" cm="1">
        <f t="array" ref="G7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72" s="2">
        <v>5500</v>
      </c>
      <c r="I72" s="3">
        <f>TabelaFretes[[#This Row],[Valor]]/TabelaFretes[[#This Row],[Quilometragem]]</f>
        <v>4.2834890965732084</v>
      </c>
      <c r="J72" s="3">
        <f>TabelaFretes[[#This Row],[Valor]]/TabelaFretes[[#This Row],[Capacidade]]</f>
        <v>392.85714285714283</v>
      </c>
    </row>
    <row r="73" spans="1:10" x14ac:dyDescent="0.3">
      <c r="A73" s="2" t="s">
        <v>130</v>
      </c>
      <c r="B73" s="2" t="s">
        <v>157</v>
      </c>
      <c r="C73" s="2" t="s">
        <v>9</v>
      </c>
      <c r="D73" s="2" cm="1">
        <f t="array" ref="D7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73" s="2">
        <v>4</v>
      </c>
      <c r="F73" s="2">
        <v>1284</v>
      </c>
      <c r="G73" s="2" t="str" cm="1">
        <f t="array" ref="G7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73" s="2">
        <v>5800</v>
      </c>
      <c r="I73" s="3">
        <f>TabelaFretes[[#This Row],[Valor]]/TabelaFretes[[#This Row],[Quilometragem]]</f>
        <v>4.5171339563862931</v>
      </c>
      <c r="J73" s="3">
        <f>TabelaFretes[[#This Row],[Valor]]/TabelaFretes[[#This Row],[Capacidade]]</f>
        <v>305.26315789473682</v>
      </c>
    </row>
    <row r="74" spans="1:10" x14ac:dyDescent="0.3">
      <c r="A74" s="2" t="s">
        <v>130</v>
      </c>
      <c r="B74" s="2" t="s">
        <v>157</v>
      </c>
      <c r="C74" s="2" t="s">
        <v>6</v>
      </c>
      <c r="D74" s="2" cm="1">
        <f t="array" ref="D7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74" s="2">
        <v>5</v>
      </c>
      <c r="F74" s="2">
        <v>1284</v>
      </c>
      <c r="G74" s="2" t="str" cm="1">
        <f t="array" ref="G7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74" s="2">
        <v>9000</v>
      </c>
      <c r="I74" s="3">
        <f>TabelaFretes[[#This Row],[Valor]]/TabelaFretes[[#This Row],[Quilometragem]]</f>
        <v>7.009345794392523</v>
      </c>
      <c r="J74" s="3">
        <f>TabelaFretes[[#This Row],[Valor]]/TabelaFretes[[#This Row],[Capacidade]]</f>
        <v>333.33333333333331</v>
      </c>
    </row>
    <row r="75" spans="1:10" x14ac:dyDescent="0.3">
      <c r="A75" s="2" t="s">
        <v>130</v>
      </c>
      <c r="B75" s="2" t="s">
        <v>157</v>
      </c>
      <c r="C75" s="2" t="s">
        <v>158</v>
      </c>
      <c r="D75" s="2" cm="1">
        <f t="array" ref="D7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75" s="2">
        <v>6</v>
      </c>
      <c r="F75" s="2">
        <v>1284</v>
      </c>
      <c r="G75" s="2" t="str" cm="1">
        <f t="array" ref="G7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75" s="2">
        <v>9000</v>
      </c>
      <c r="I75" s="3">
        <f>TabelaFretes[[#This Row],[Valor]]/TabelaFretes[[#This Row],[Quilometragem]]</f>
        <v>7.009345794392523</v>
      </c>
      <c r="J75" s="3">
        <f>TabelaFretes[[#This Row],[Valor]]/TabelaFretes[[#This Row],[Capacidade]]</f>
        <v>281.25</v>
      </c>
    </row>
    <row r="76" spans="1:10" x14ac:dyDescent="0.3">
      <c r="A76" s="2" t="s">
        <v>130</v>
      </c>
      <c r="B76" s="2" t="s">
        <v>159</v>
      </c>
      <c r="C76" s="2" t="s">
        <v>7</v>
      </c>
      <c r="D76" s="2" cm="1">
        <f t="array" ref="D7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76" s="2">
        <v>3</v>
      </c>
      <c r="F76" s="2">
        <v>675</v>
      </c>
      <c r="G76" s="2" t="str" cm="1">
        <f t="array" ref="G7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76" s="2">
        <v>3000</v>
      </c>
      <c r="I76" s="3">
        <f>TabelaFretes[[#This Row],[Valor]]/TabelaFretes[[#This Row],[Quilometragem]]</f>
        <v>4.4444444444444446</v>
      </c>
      <c r="J76" s="3">
        <f>TabelaFretes[[#This Row],[Valor]]/TabelaFretes[[#This Row],[Capacidade]]</f>
        <v>214.28571428571428</v>
      </c>
    </row>
    <row r="77" spans="1:10" x14ac:dyDescent="0.3">
      <c r="A77" s="2" t="s">
        <v>130</v>
      </c>
      <c r="B77" s="2" t="s">
        <v>159</v>
      </c>
      <c r="C77" s="2" t="s">
        <v>9</v>
      </c>
      <c r="D77" s="2" cm="1">
        <f t="array" ref="D7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77" s="2">
        <v>4</v>
      </c>
      <c r="F77" s="2">
        <v>675</v>
      </c>
      <c r="G77" s="2" t="str" cm="1">
        <f t="array" ref="G7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77" s="2">
        <v>4000</v>
      </c>
      <c r="I77" s="3">
        <f>TabelaFretes[[#This Row],[Valor]]/TabelaFretes[[#This Row],[Quilometragem]]</f>
        <v>5.9259259259259256</v>
      </c>
      <c r="J77" s="3">
        <f>TabelaFretes[[#This Row],[Valor]]/TabelaFretes[[#This Row],[Capacidade]]</f>
        <v>210.52631578947367</v>
      </c>
    </row>
    <row r="78" spans="1:10" x14ac:dyDescent="0.3">
      <c r="A78" s="2" t="s">
        <v>130</v>
      </c>
      <c r="B78" s="2" t="s">
        <v>159</v>
      </c>
      <c r="C78" s="2" t="s">
        <v>6</v>
      </c>
      <c r="D78" s="2" cm="1">
        <f t="array" ref="D7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78" s="2">
        <v>5</v>
      </c>
      <c r="F78" s="2">
        <v>675</v>
      </c>
      <c r="G78" s="2" t="str" cm="1">
        <f t="array" ref="G7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78" s="2">
        <v>5500</v>
      </c>
      <c r="I78" s="3">
        <f>TabelaFretes[[#This Row],[Valor]]/TabelaFretes[[#This Row],[Quilometragem]]</f>
        <v>8.1481481481481488</v>
      </c>
      <c r="J78" s="3">
        <f>TabelaFretes[[#This Row],[Valor]]/TabelaFretes[[#This Row],[Capacidade]]</f>
        <v>203.7037037037037</v>
      </c>
    </row>
    <row r="79" spans="1:10" x14ac:dyDescent="0.3">
      <c r="A79" s="2" t="s">
        <v>130</v>
      </c>
      <c r="B79" s="2" t="s">
        <v>160</v>
      </c>
      <c r="C79" s="2" t="s">
        <v>7</v>
      </c>
      <c r="D79" s="2" cm="1">
        <f t="array" ref="D7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79" s="2">
        <v>3</v>
      </c>
      <c r="F79" s="2">
        <v>564</v>
      </c>
      <c r="G79" s="2" t="str" cm="1">
        <f t="array" ref="G7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79" s="2">
        <v>2800</v>
      </c>
      <c r="I79" s="3">
        <f>TabelaFretes[[#This Row],[Valor]]/TabelaFretes[[#This Row],[Quilometragem]]</f>
        <v>4.9645390070921982</v>
      </c>
      <c r="J79" s="3">
        <f>TabelaFretes[[#This Row],[Valor]]/TabelaFretes[[#This Row],[Capacidade]]</f>
        <v>200</v>
      </c>
    </row>
    <row r="80" spans="1:10" x14ac:dyDescent="0.3">
      <c r="A80" s="2" t="s">
        <v>130</v>
      </c>
      <c r="B80" s="2" t="s">
        <v>161</v>
      </c>
      <c r="C80" s="2" t="s">
        <v>7</v>
      </c>
      <c r="D80" s="2" cm="1">
        <f t="array" ref="D8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80" s="2">
        <v>3</v>
      </c>
      <c r="F80" s="2">
        <v>445</v>
      </c>
      <c r="G80" s="2" t="str" cm="1">
        <f t="array" ref="G8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80" s="2">
        <v>2500</v>
      </c>
      <c r="I80" s="3">
        <f>TabelaFretes[[#This Row],[Valor]]/TabelaFretes[[#This Row],[Quilometragem]]</f>
        <v>5.617977528089888</v>
      </c>
      <c r="J80" s="3">
        <f>TabelaFretes[[#This Row],[Valor]]/TabelaFretes[[#This Row],[Capacidade]]</f>
        <v>178.57142857142858</v>
      </c>
    </row>
    <row r="81" spans="1:10" x14ac:dyDescent="0.3">
      <c r="A81" s="2" t="s">
        <v>130</v>
      </c>
      <c r="B81" s="2" t="s">
        <v>161</v>
      </c>
      <c r="C81" s="2" t="s">
        <v>9</v>
      </c>
      <c r="D81" s="2" cm="1">
        <f t="array" ref="D8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81" s="2">
        <v>4</v>
      </c>
      <c r="F81" s="2">
        <v>445</v>
      </c>
      <c r="G81" s="2" t="str" cm="1">
        <f t="array" ref="G8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81" s="2">
        <v>3000</v>
      </c>
      <c r="I81" s="3">
        <f>TabelaFretes[[#This Row],[Valor]]/TabelaFretes[[#This Row],[Quilometragem]]</f>
        <v>6.7415730337078648</v>
      </c>
      <c r="J81" s="3">
        <f>TabelaFretes[[#This Row],[Valor]]/TabelaFretes[[#This Row],[Capacidade]]</f>
        <v>157.89473684210526</v>
      </c>
    </row>
    <row r="82" spans="1:10" x14ac:dyDescent="0.3">
      <c r="A82" s="2" t="s">
        <v>130</v>
      </c>
      <c r="B82" s="2" t="s">
        <v>161</v>
      </c>
      <c r="C82" s="2" t="s">
        <v>6</v>
      </c>
      <c r="D82" s="2" cm="1">
        <f t="array" ref="D8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82" s="2">
        <v>5</v>
      </c>
      <c r="F82" s="2">
        <v>445</v>
      </c>
      <c r="G82" s="2" t="str" cm="1">
        <f t="array" ref="G8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82" s="2">
        <v>4600</v>
      </c>
      <c r="I82" s="3">
        <f>TabelaFretes[[#This Row],[Valor]]/TabelaFretes[[#This Row],[Quilometragem]]</f>
        <v>10.337078651685394</v>
      </c>
      <c r="J82" s="3">
        <f>TabelaFretes[[#This Row],[Valor]]/TabelaFretes[[#This Row],[Capacidade]]</f>
        <v>170.37037037037038</v>
      </c>
    </row>
    <row r="83" spans="1:10" x14ac:dyDescent="0.3">
      <c r="A83" s="2" t="s">
        <v>130</v>
      </c>
      <c r="B83" s="2" t="s">
        <v>162</v>
      </c>
      <c r="C83" s="2" t="s">
        <v>7</v>
      </c>
      <c r="D83" s="2" cm="1">
        <f t="array" ref="D8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83" s="2">
        <v>3</v>
      </c>
      <c r="F83" s="2">
        <v>1375</v>
      </c>
      <c r="G83" s="2" t="str" cm="1">
        <f t="array" ref="G8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83" s="2">
        <v>5000</v>
      </c>
      <c r="I83" s="3">
        <f>TabelaFretes[[#This Row],[Valor]]/TabelaFretes[[#This Row],[Quilometragem]]</f>
        <v>3.6363636363636362</v>
      </c>
      <c r="J83" s="3">
        <f>TabelaFretes[[#This Row],[Valor]]/TabelaFretes[[#This Row],[Capacidade]]</f>
        <v>357.14285714285717</v>
      </c>
    </row>
    <row r="84" spans="1:10" x14ac:dyDescent="0.3">
      <c r="A84" s="2" t="s">
        <v>130</v>
      </c>
      <c r="B84" s="2" t="s">
        <v>162</v>
      </c>
      <c r="C84" s="2" t="s">
        <v>6</v>
      </c>
      <c r="D84" s="2" cm="1">
        <f t="array" ref="D8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84" s="2">
        <v>5</v>
      </c>
      <c r="F84" s="2">
        <v>1375</v>
      </c>
      <c r="G84" s="2" t="str" cm="1">
        <f t="array" ref="G8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84" s="2">
        <v>10000</v>
      </c>
      <c r="I84" s="3">
        <f>TabelaFretes[[#This Row],[Valor]]/TabelaFretes[[#This Row],[Quilometragem]]</f>
        <v>7.2727272727272725</v>
      </c>
      <c r="J84" s="3">
        <f>TabelaFretes[[#This Row],[Valor]]/TabelaFretes[[#This Row],[Capacidade]]</f>
        <v>370.37037037037038</v>
      </c>
    </row>
    <row r="85" spans="1:10" x14ac:dyDescent="0.3">
      <c r="A85" s="2" t="s">
        <v>130</v>
      </c>
      <c r="B85" s="2" t="s">
        <v>163</v>
      </c>
      <c r="C85" s="2" t="s">
        <v>7</v>
      </c>
      <c r="D85" s="2" cm="1">
        <f t="array" ref="D8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85" s="2">
        <v>3</v>
      </c>
      <c r="F85" s="2">
        <v>795</v>
      </c>
      <c r="G85" s="2" t="str" cm="1">
        <f t="array" ref="G8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85" s="2">
        <v>3200</v>
      </c>
      <c r="I85" s="3">
        <f>TabelaFretes[[#This Row],[Valor]]/TabelaFretes[[#This Row],[Quilometragem]]</f>
        <v>4.0251572327044025</v>
      </c>
      <c r="J85" s="3">
        <f>TabelaFretes[[#This Row],[Valor]]/TabelaFretes[[#This Row],[Capacidade]]</f>
        <v>228.57142857142858</v>
      </c>
    </row>
    <row r="86" spans="1:10" x14ac:dyDescent="0.3">
      <c r="A86" s="2" t="s">
        <v>130</v>
      </c>
      <c r="B86" s="2" t="s">
        <v>164</v>
      </c>
      <c r="C86" s="2" t="s">
        <v>7</v>
      </c>
      <c r="D86" s="2" cm="1">
        <f t="array" ref="D8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86" s="2">
        <v>3</v>
      </c>
      <c r="F86" s="2">
        <v>1555</v>
      </c>
      <c r="G86" s="2" t="str" cm="1">
        <f t="array" ref="G8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86" s="2">
        <v>5500</v>
      </c>
      <c r="I86" s="3">
        <f>TabelaFretes[[#This Row],[Valor]]/TabelaFretes[[#This Row],[Quilometragem]]</f>
        <v>3.536977491961415</v>
      </c>
      <c r="J86" s="3">
        <f>TabelaFretes[[#This Row],[Valor]]/TabelaFretes[[#This Row],[Capacidade]]</f>
        <v>392.85714285714283</v>
      </c>
    </row>
    <row r="87" spans="1:10" x14ac:dyDescent="0.3">
      <c r="A87" s="2" t="s">
        <v>130</v>
      </c>
      <c r="B87" s="2" t="s">
        <v>164</v>
      </c>
      <c r="C87" s="2" t="s">
        <v>6</v>
      </c>
      <c r="D87" s="2" cm="1">
        <f t="array" ref="D8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87" s="2">
        <v>5</v>
      </c>
      <c r="F87" s="2">
        <v>1555</v>
      </c>
      <c r="G87" s="2" t="str" cm="1">
        <f t="array" ref="G8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87" s="2">
        <v>10000</v>
      </c>
      <c r="I87" s="3">
        <f>TabelaFretes[[#This Row],[Valor]]/TabelaFretes[[#This Row],[Quilometragem]]</f>
        <v>6.430868167202572</v>
      </c>
      <c r="J87" s="3">
        <f>TabelaFretes[[#This Row],[Valor]]/TabelaFretes[[#This Row],[Capacidade]]</f>
        <v>370.37037037037038</v>
      </c>
    </row>
    <row r="88" spans="1:10" x14ac:dyDescent="0.3">
      <c r="A88" s="2" t="s">
        <v>130</v>
      </c>
      <c r="B88" s="2" t="s">
        <v>165</v>
      </c>
      <c r="C88" s="2" t="s">
        <v>7</v>
      </c>
      <c r="D88" s="2" cm="1">
        <f t="array" ref="D8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88" s="2">
        <v>3</v>
      </c>
      <c r="F88" s="2">
        <v>779</v>
      </c>
      <c r="G88" s="2" t="str" cm="1">
        <f t="array" ref="G8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88" s="2">
        <v>3100</v>
      </c>
      <c r="I88" s="3">
        <f>TabelaFretes[[#This Row],[Valor]]/TabelaFretes[[#This Row],[Quilometragem]]</f>
        <v>3.9794608472400514</v>
      </c>
      <c r="J88" s="3">
        <f>TabelaFretes[[#This Row],[Valor]]/TabelaFretes[[#This Row],[Capacidade]]</f>
        <v>221.42857142857142</v>
      </c>
    </row>
    <row r="89" spans="1:10" x14ac:dyDescent="0.3">
      <c r="A89" s="2" t="s">
        <v>130</v>
      </c>
      <c r="B89" s="2" t="s">
        <v>165</v>
      </c>
      <c r="C89" s="2" t="s">
        <v>6</v>
      </c>
      <c r="D89" s="2" cm="1">
        <f t="array" ref="D8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89" s="2">
        <v>5</v>
      </c>
      <c r="F89" s="2">
        <v>779</v>
      </c>
      <c r="G89" s="2" t="str" cm="1">
        <f t="array" ref="G8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89" s="2">
        <v>5500</v>
      </c>
      <c r="I89" s="3">
        <f>TabelaFretes[[#This Row],[Valor]]/TabelaFretes[[#This Row],[Quilometragem]]</f>
        <v>7.0603337612323491</v>
      </c>
      <c r="J89" s="3">
        <f>TabelaFretes[[#This Row],[Valor]]/TabelaFretes[[#This Row],[Capacidade]]</f>
        <v>203.7037037037037</v>
      </c>
    </row>
    <row r="90" spans="1:10" x14ac:dyDescent="0.3">
      <c r="A90" s="2" t="s">
        <v>130</v>
      </c>
      <c r="B90" s="2" t="s">
        <v>166</v>
      </c>
      <c r="C90" s="2" t="s">
        <v>7</v>
      </c>
      <c r="D90" s="2" cm="1">
        <f t="array" ref="D9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90" s="2">
        <v>3</v>
      </c>
      <c r="F90" s="2">
        <v>844</v>
      </c>
      <c r="G90" s="2" t="str" cm="1">
        <f t="array" ref="G9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90" s="2">
        <v>3500</v>
      </c>
      <c r="I90" s="3">
        <f>TabelaFretes[[#This Row],[Valor]]/TabelaFretes[[#This Row],[Quilometragem]]</f>
        <v>4.1469194312796205</v>
      </c>
      <c r="J90" s="3">
        <f>TabelaFretes[[#This Row],[Valor]]/TabelaFretes[[#This Row],[Capacidade]]</f>
        <v>250</v>
      </c>
    </row>
    <row r="91" spans="1:10" x14ac:dyDescent="0.3">
      <c r="A91" s="2" t="s">
        <v>130</v>
      </c>
      <c r="B91" s="2" t="s">
        <v>166</v>
      </c>
      <c r="C91" s="2" t="s">
        <v>9</v>
      </c>
      <c r="D91" s="2" cm="1">
        <f t="array" ref="D9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91" s="2">
        <v>4</v>
      </c>
      <c r="F91" s="2">
        <v>844</v>
      </c>
      <c r="G91" s="2" t="str" cm="1">
        <f t="array" ref="G9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91" s="2">
        <v>4200</v>
      </c>
      <c r="I91" s="3">
        <f>TabelaFretes[[#This Row],[Valor]]/TabelaFretes[[#This Row],[Quilometragem]]</f>
        <v>4.9763033175355451</v>
      </c>
      <c r="J91" s="3">
        <f>TabelaFretes[[#This Row],[Valor]]/TabelaFretes[[#This Row],[Capacidade]]</f>
        <v>221.05263157894737</v>
      </c>
    </row>
    <row r="92" spans="1:10" x14ac:dyDescent="0.3">
      <c r="A92" s="2" t="s">
        <v>130</v>
      </c>
      <c r="B92" s="2" t="s">
        <v>166</v>
      </c>
      <c r="C92" s="2" t="s">
        <v>6</v>
      </c>
      <c r="D92" s="2" cm="1">
        <f t="array" ref="D9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92" s="2">
        <v>5</v>
      </c>
      <c r="F92" s="2">
        <v>844</v>
      </c>
      <c r="G92" s="2" t="str" cm="1">
        <f t="array" ref="G9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92" s="2">
        <v>6300</v>
      </c>
      <c r="I92" s="3">
        <f>TabelaFretes[[#This Row],[Valor]]/TabelaFretes[[#This Row],[Quilometragem]]</f>
        <v>7.4644549763033172</v>
      </c>
      <c r="J92" s="3">
        <f>TabelaFretes[[#This Row],[Valor]]/TabelaFretes[[#This Row],[Capacidade]]</f>
        <v>233.33333333333334</v>
      </c>
    </row>
    <row r="93" spans="1:10" x14ac:dyDescent="0.3">
      <c r="A93" s="2" t="s">
        <v>130</v>
      </c>
      <c r="B93" s="2" t="s">
        <v>167</v>
      </c>
      <c r="C93" s="2" t="s">
        <v>7</v>
      </c>
      <c r="D93" s="2" cm="1">
        <f t="array" ref="D9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93" s="2">
        <v>3</v>
      </c>
      <c r="F93" s="2">
        <v>784</v>
      </c>
      <c r="G93" s="2" t="str" cm="1">
        <f t="array" ref="G9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93" s="2">
        <v>3200</v>
      </c>
      <c r="I93" s="3">
        <f>TabelaFretes[[#This Row],[Valor]]/TabelaFretes[[#This Row],[Quilometragem]]</f>
        <v>4.0816326530612246</v>
      </c>
      <c r="J93" s="3">
        <f>TabelaFretes[[#This Row],[Valor]]/TabelaFretes[[#This Row],[Capacidade]]</f>
        <v>228.57142857142858</v>
      </c>
    </row>
    <row r="94" spans="1:10" x14ac:dyDescent="0.3">
      <c r="A94" s="2" t="s">
        <v>130</v>
      </c>
      <c r="B94" s="2" t="s">
        <v>167</v>
      </c>
      <c r="C94" s="2" t="s">
        <v>6</v>
      </c>
      <c r="D94" s="2" cm="1">
        <f t="array" ref="D9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94" s="2">
        <v>5</v>
      </c>
      <c r="F94" s="2">
        <v>784</v>
      </c>
      <c r="G94" s="2" t="str" cm="1">
        <f t="array" ref="G9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94" s="2">
        <v>5000</v>
      </c>
      <c r="I94" s="3">
        <f>TabelaFretes[[#This Row],[Valor]]/TabelaFretes[[#This Row],[Quilometragem]]</f>
        <v>6.3775510204081636</v>
      </c>
      <c r="J94" s="3">
        <f>TabelaFretes[[#This Row],[Valor]]/TabelaFretes[[#This Row],[Capacidade]]</f>
        <v>185.18518518518519</v>
      </c>
    </row>
    <row r="95" spans="1:10" x14ac:dyDescent="0.3">
      <c r="A95" s="2" t="s">
        <v>130</v>
      </c>
      <c r="B95" s="2" t="s">
        <v>168</v>
      </c>
      <c r="C95" s="2" t="s">
        <v>7</v>
      </c>
      <c r="D95" s="2" cm="1">
        <f t="array" ref="D9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95" s="2">
        <v>3</v>
      </c>
      <c r="F95" s="2">
        <v>1471</v>
      </c>
      <c r="G95" s="2" t="str" cm="1">
        <f t="array" ref="G9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95" s="2">
        <v>5800</v>
      </c>
      <c r="I95" s="3">
        <f>TabelaFretes[[#This Row],[Valor]]/TabelaFretes[[#This Row],[Quilometragem]]</f>
        <v>3.9428959891230457</v>
      </c>
      <c r="J95" s="3">
        <f>TabelaFretes[[#This Row],[Valor]]/TabelaFretes[[#This Row],[Capacidade]]</f>
        <v>414.28571428571428</v>
      </c>
    </row>
    <row r="96" spans="1:10" x14ac:dyDescent="0.3">
      <c r="A96" s="2" t="s">
        <v>130</v>
      </c>
      <c r="B96" s="2" t="s">
        <v>168</v>
      </c>
      <c r="C96" s="2" t="s">
        <v>6</v>
      </c>
      <c r="D96" s="2" cm="1">
        <f t="array" ref="D9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96" s="2">
        <v>5</v>
      </c>
      <c r="F96" s="2">
        <v>1471</v>
      </c>
      <c r="G96" s="2" t="str" cm="1">
        <f t="array" ref="G9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96" s="2">
        <v>10000</v>
      </c>
      <c r="I96" s="3">
        <f>TabelaFretes[[#This Row],[Valor]]/TabelaFretes[[#This Row],[Quilometragem]]</f>
        <v>6.7980965329707681</v>
      </c>
      <c r="J96" s="3">
        <f>TabelaFretes[[#This Row],[Valor]]/TabelaFretes[[#This Row],[Capacidade]]</f>
        <v>370.37037037037038</v>
      </c>
    </row>
    <row r="97" spans="1:10" x14ac:dyDescent="0.3">
      <c r="A97" s="2" t="s">
        <v>130</v>
      </c>
      <c r="B97" s="2" t="s">
        <v>169</v>
      </c>
      <c r="C97" s="2" t="s">
        <v>7</v>
      </c>
      <c r="D97" s="2" cm="1">
        <f t="array" ref="D9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97" s="2">
        <v>3</v>
      </c>
      <c r="F97" s="2">
        <v>1269</v>
      </c>
      <c r="G97" s="2" t="str" cm="1">
        <f t="array" ref="G9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97" s="2">
        <v>5000</v>
      </c>
      <c r="I97" s="3">
        <f>TabelaFretes[[#This Row],[Valor]]/TabelaFretes[[#This Row],[Quilometragem]]</f>
        <v>3.9401103230890464</v>
      </c>
      <c r="J97" s="3">
        <f>TabelaFretes[[#This Row],[Valor]]/TabelaFretes[[#This Row],[Capacidade]]</f>
        <v>357.14285714285717</v>
      </c>
    </row>
    <row r="98" spans="1:10" x14ac:dyDescent="0.3">
      <c r="A98" s="2" t="s">
        <v>130</v>
      </c>
      <c r="B98" s="2" t="s">
        <v>169</v>
      </c>
      <c r="C98" s="2" t="s">
        <v>6</v>
      </c>
      <c r="D98" s="2" cm="1">
        <f t="array" ref="D9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98" s="2">
        <v>5</v>
      </c>
      <c r="F98" s="2">
        <v>1269</v>
      </c>
      <c r="G98" s="2" t="str" cm="1">
        <f t="array" ref="G9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98" s="2">
        <v>8000</v>
      </c>
      <c r="I98" s="3">
        <f>TabelaFretes[[#This Row],[Valor]]/TabelaFretes[[#This Row],[Quilometragem]]</f>
        <v>6.3041765169424746</v>
      </c>
      <c r="J98" s="3">
        <f>TabelaFretes[[#This Row],[Valor]]/TabelaFretes[[#This Row],[Capacidade]]</f>
        <v>296.2962962962963</v>
      </c>
    </row>
    <row r="99" spans="1:10" x14ac:dyDescent="0.3">
      <c r="A99" s="2" t="s">
        <v>130</v>
      </c>
      <c r="B99" s="2" t="s">
        <v>170</v>
      </c>
      <c r="C99" s="2" t="s">
        <v>7</v>
      </c>
      <c r="D99" s="2" cm="1">
        <f t="array" ref="D9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99" s="2">
        <v>3</v>
      </c>
      <c r="F99" s="2">
        <v>1182</v>
      </c>
      <c r="G99" s="2" t="str" cm="1">
        <f t="array" ref="G9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99" s="2">
        <v>5500</v>
      </c>
      <c r="I99" s="3">
        <f>TabelaFretes[[#This Row],[Valor]]/TabelaFretes[[#This Row],[Quilometragem]]</f>
        <v>4.6531302876480538</v>
      </c>
      <c r="J99" s="3">
        <f>TabelaFretes[[#This Row],[Valor]]/TabelaFretes[[#This Row],[Capacidade]]</f>
        <v>392.85714285714283</v>
      </c>
    </row>
    <row r="100" spans="1:10" x14ac:dyDescent="0.3">
      <c r="A100" s="2" t="s">
        <v>130</v>
      </c>
      <c r="B100" s="2" t="s">
        <v>170</v>
      </c>
      <c r="C100" s="2" t="s">
        <v>9</v>
      </c>
      <c r="D100" s="2" cm="1">
        <f t="array" ref="D10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00" s="2">
        <v>4</v>
      </c>
      <c r="F100" s="2">
        <v>1182</v>
      </c>
      <c r="G100" s="2" t="str" cm="1">
        <f t="array" ref="G10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00" s="2">
        <v>6450</v>
      </c>
      <c r="I100" s="3">
        <f>TabelaFretes[[#This Row],[Valor]]/TabelaFretes[[#This Row],[Quilometragem]]</f>
        <v>5.4568527918781724</v>
      </c>
      <c r="J100" s="3">
        <f>TabelaFretes[[#This Row],[Valor]]/TabelaFretes[[#This Row],[Capacidade]]</f>
        <v>339.4736842105263</v>
      </c>
    </row>
    <row r="101" spans="1:10" x14ac:dyDescent="0.3">
      <c r="A101" s="2" t="s">
        <v>130</v>
      </c>
      <c r="B101" s="2" t="s">
        <v>170</v>
      </c>
      <c r="C101" s="2" t="s">
        <v>6</v>
      </c>
      <c r="D101" s="2" cm="1">
        <f t="array" ref="D10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01" s="2">
        <v>5</v>
      </c>
      <c r="F101" s="2">
        <v>1182</v>
      </c>
      <c r="G101" s="2" t="str" cm="1">
        <f t="array" ref="G10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01" s="2">
        <v>9000</v>
      </c>
      <c r="I101" s="3">
        <f>TabelaFretes[[#This Row],[Valor]]/TabelaFretes[[#This Row],[Quilometragem]]</f>
        <v>7.6142131979695433</v>
      </c>
      <c r="J101" s="3">
        <f>TabelaFretes[[#This Row],[Valor]]/TabelaFretes[[#This Row],[Capacidade]]</f>
        <v>333.33333333333331</v>
      </c>
    </row>
    <row r="102" spans="1:10" x14ac:dyDescent="0.3">
      <c r="A102" s="2" t="s">
        <v>130</v>
      </c>
      <c r="B102" s="2" t="s">
        <v>170</v>
      </c>
      <c r="C102" s="2" t="s">
        <v>158</v>
      </c>
      <c r="D102" s="2" cm="1">
        <f t="array" ref="D10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02" s="2">
        <v>6</v>
      </c>
      <c r="F102" s="2">
        <v>1182</v>
      </c>
      <c r="G102" s="2" t="str" cm="1">
        <f t="array" ref="G10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02" s="2">
        <v>9000</v>
      </c>
      <c r="I102" s="3">
        <f>TabelaFretes[[#This Row],[Valor]]/TabelaFretes[[#This Row],[Quilometragem]]</f>
        <v>7.6142131979695433</v>
      </c>
      <c r="J102" s="3">
        <f>TabelaFretes[[#This Row],[Valor]]/TabelaFretes[[#This Row],[Capacidade]]</f>
        <v>281.25</v>
      </c>
    </row>
    <row r="103" spans="1:10" x14ac:dyDescent="0.3">
      <c r="A103" s="2" t="s">
        <v>130</v>
      </c>
      <c r="B103" s="2" t="s">
        <v>170</v>
      </c>
      <c r="C103" s="2" t="s">
        <v>171</v>
      </c>
      <c r="D103" s="2" cm="1">
        <f t="array" ref="D10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37</v>
      </c>
      <c r="E103" s="2">
        <v>7</v>
      </c>
      <c r="F103" s="2">
        <v>1182</v>
      </c>
      <c r="G103" s="2" t="str" cm="1">
        <f t="array" ref="G10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03" s="2">
        <v>11500</v>
      </c>
      <c r="I103" s="3">
        <f>TabelaFretes[[#This Row],[Valor]]/TabelaFretes[[#This Row],[Quilometragem]]</f>
        <v>9.7292724196277494</v>
      </c>
      <c r="J103" s="3">
        <f>TabelaFretes[[#This Row],[Valor]]/TabelaFretes[[#This Row],[Capacidade]]</f>
        <v>310.81081081081084</v>
      </c>
    </row>
    <row r="104" spans="1:10" x14ac:dyDescent="0.3">
      <c r="A104" s="2" t="s">
        <v>27</v>
      </c>
      <c r="B104" s="2" t="s">
        <v>28</v>
      </c>
      <c r="C104" s="2" t="s">
        <v>7</v>
      </c>
      <c r="D104" s="2" cm="1">
        <f t="array" ref="D10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04" s="2">
        <v>3</v>
      </c>
      <c r="F104" s="2">
        <v>600</v>
      </c>
      <c r="G104" s="2" t="str" cm="1">
        <f t="array" ref="G10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04" s="2">
        <v>2700</v>
      </c>
      <c r="I104" s="3">
        <f>TabelaFretes[[#This Row],[Valor]]/TabelaFretes[[#This Row],[Quilometragem]]</f>
        <v>4.5</v>
      </c>
      <c r="J104" s="3">
        <f>TabelaFretes[[#This Row],[Valor]]/TabelaFretes[[#This Row],[Capacidade]]</f>
        <v>192.85714285714286</v>
      </c>
    </row>
    <row r="105" spans="1:10" x14ac:dyDescent="0.3">
      <c r="A105" s="2" t="s">
        <v>27</v>
      </c>
      <c r="B105" s="2" t="s">
        <v>29</v>
      </c>
      <c r="C105" s="2" t="s">
        <v>7</v>
      </c>
      <c r="D105" s="2" cm="1">
        <f t="array" ref="D10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05" s="2">
        <v>3</v>
      </c>
      <c r="F105" s="2">
        <v>807</v>
      </c>
      <c r="G105" s="2" t="str" cm="1">
        <f t="array" ref="G10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05" s="2">
        <v>3300</v>
      </c>
      <c r="I105" s="3">
        <f>TabelaFretes[[#This Row],[Valor]]/TabelaFretes[[#This Row],[Quilometragem]]</f>
        <v>4.0892193308550189</v>
      </c>
      <c r="J105" s="3">
        <f>TabelaFretes[[#This Row],[Valor]]/TabelaFretes[[#This Row],[Capacidade]]</f>
        <v>235.71428571428572</v>
      </c>
    </row>
    <row r="106" spans="1:10" x14ac:dyDescent="0.3">
      <c r="A106" s="2" t="s">
        <v>27</v>
      </c>
      <c r="B106" s="2" t="s">
        <v>29</v>
      </c>
      <c r="C106" s="2" t="s">
        <v>9</v>
      </c>
      <c r="D106" s="2" cm="1">
        <f t="array" ref="D10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06" s="2">
        <v>4</v>
      </c>
      <c r="F106" s="2">
        <v>807</v>
      </c>
      <c r="G106" s="2" t="str" cm="1">
        <f t="array" ref="G10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06" s="2">
        <v>4200</v>
      </c>
      <c r="I106" s="3">
        <f>TabelaFretes[[#This Row],[Valor]]/TabelaFretes[[#This Row],[Quilometragem]]</f>
        <v>5.2044609665427508</v>
      </c>
      <c r="J106" s="3">
        <f>TabelaFretes[[#This Row],[Valor]]/TabelaFretes[[#This Row],[Capacidade]]</f>
        <v>221.05263157894737</v>
      </c>
    </row>
    <row r="107" spans="1:10" x14ac:dyDescent="0.3">
      <c r="A107" s="2" t="s">
        <v>27</v>
      </c>
      <c r="B107" s="2" t="s">
        <v>30</v>
      </c>
      <c r="C107" s="2" t="s">
        <v>7</v>
      </c>
      <c r="D107" s="2" cm="1">
        <f t="array" ref="D10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07" s="2">
        <v>3</v>
      </c>
      <c r="F107" s="2">
        <v>772</v>
      </c>
      <c r="G107" s="2" t="str" cm="1">
        <f t="array" ref="G10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07" s="2">
        <v>3200</v>
      </c>
      <c r="I107" s="3">
        <f>TabelaFretes[[#This Row],[Valor]]/TabelaFretes[[#This Row],[Quilometragem]]</f>
        <v>4.1450777202072535</v>
      </c>
      <c r="J107" s="3">
        <f>TabelaFretes[[#This Row],[Valor]]/TabelaFretes[[#This Row],[Capacidade]]</f>
        <v>228.57142857142858</v>
      </c>
    </row>
    <row r="108" spans="1:10" x14ac:dyDescent="0.3">
      <c r="A108" s="2" t="s">
        <v>27</v>
      </c>
      <c r="B108" s="2" t="s">
        <v>30</v>
      </c>
      <c r="C108" s="2" t="s">
        <v>9</v>
      </c>
      <c r="D108" s="2" cm="1">
        <f t="array" ref="D10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08" s="2">
        <v>4</v>
      </c>
      <c r="F108" s="2">
        <v>772</v>
      </c>
      <c r="G108" s="2" t="str" cm="1">
        <f t="array" ref="G10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08" s="2">
        <v>4100</v>
      </c>
      <c r="I108" s="3">
        <f>TabelaFretes[[#This Row],[Valor]]/TabelaFretes[[#This Row],[Quilometragem]]</f>
        <v>5.3108808290155443</v>
      </c>
      <c r="J108" s="3">
        <f>TabelaFretes[[#This Row],[Valor]]/TabelaFretes[[#This Row],[Capacidade]]</f>
        <v>215.78947368421052</v>
      </c>
    </row>
    <row r="109" spans="1:10" x14ac:dyDescent="0.3">
      <c r="A109" s="2" t="s">
        <v>27</v>
      </c>
      <c r="B109" s="2" t="s">
        <v>30</v>
      </c>
      <c r="C109" s="2" t="s">
        <v>6</v>
      </c>
      <c r="D109" s="2" cm="1">
        <f t="array" ref="D10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09" s="2">
        <v>5</v>
      </c>
      <c r="F109" s="2">
        <v>772</v>
      </c>
      <c r="G109" s="2" t="str" cm="1">
        <f t="array" ref="G10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09" s="2">
        <v>5700</v>
      </c>
      <c r="I109" s="3">
        <f>TabelaFretes[[#This Row],[Valor]]/TabelaFretes[[#This Row],[Quilometragem]]</f>
        <v>7.3834196891191706</v>
      </c>
      <c r="J109" s="3">
        <f>TabelaFretes[[#This Row],[Valor]]/TabelaFretes[[#This Row],[Capacidade]]</f>
        <v>211.11111111111111</v>
      </c>
    </row>
    <row r="110" spans="1:10" x14ac:dyDescent="0.3">
      <c r="A110" s="2" t="s">
        <v>27</v>
      </c>
      <c r="B110" s="2" t="s">
        <v>31</v>
      </c>
      <c r="C110" s="2" t="s">
        <v>7</v>
      </c>
      <c r="D110" s="2" cm="1">
        <f t="array" ref="D11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10" s="2">
        <v>3</v>
      </c>
      <c r="F110" s="2">
        <v>686</v>
      </c>
      <c r="G110" s="2" t="str" cm="1">
        <f t="array" ref="G11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0" s="2">
        <v>3100</v>
      </c>
      <c r="I110" s="3">
        <f>TabelaFretes[[#This Row],[Valor]]/TabelaFretes[[#This Row],[Quilometragem]]</f>
        <v>4.518950437317784</v>
      </c>
      <c r="J110" s="3">
        <f>TabelaFretes[[#This Row],[Valor]]/TabelaFretes[[#This Row],[Capacidade]]</f>
        <v>221.42857142857142</v>
      </c>
    </row>
    <row r="111" spans="1:10" x14ac:dyDescent="0.3">
      <c r="A111" s="2" t="s">
        <v>27</v>
      </c>
      <c r="B111" s="2" t="s">
        <v>32</v>
      </c>
      <c r="C111" s="2" t="s">
        <v>7</v>
      </c>
      <c r="D111" s="2" cm="1">
        <f t="array" ref="D11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11" s="2">
        <v>3</v>
      </c>
      <c r="F111" s="2">
        <v>606</v>
      </c>
      <c r="G111" s="2" t="str" cm="1">
        <f t="array" ref="G11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1" s="2">
        <v>2800</v>
      </c>
      <c r="I111" s="3">
        <f>TabelaFretes[[#This Row],[Valor]]/TabelaFretes[[#This Row],[Quilometragem]]</f>
        <v>4.6204620462046204</v>
      </c>
      <c r="J111" s="3">
        <f>TabelaFretes[[#This Row],[Valor]]/TabelaFretes[[#This Row],[Capacidade]]</f>
        <v>200</v>
      </c>
    </row>
    <row r="112" spans="1:10" x14ac:dyDescent="0.3">
      <c r="A112" s="2" t="s">
        <v>27</v>
      </c>
      <c r="B112" s="2" t="s">
        <v>33</v>
      </c>
      <c r="C112" s="2" t="s">
        <v>7</v>
      </c>
      <c r="D112" s="2" cm="1">
        <f t="array" ref="D11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12" s="2">
        <v>3</v>
      </c>
      <c r="F112" s="2">
        <v>607</v>
      </c>
      <c r="G112" s="2" t="str" cm="1">
        <f t="array" ref="G11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2" s="2">
        <v>2700</v>
      </c>
      <c r="I112" s="3">
        <f>TabelaFretes[[#This Row],[Valor]]/TabelaFretes[[#This Row],[Quilometragem]]</f>
        <v>4.4481054365733117</v>
      </c>
      <c r="J112" s="3">
        <f>TabelaFretes[[#This Row],[Valor]]/TabelaFretes[[#This Row],[Capacidade]]</f>
        <v>192.85714285714286</v>
      </c>
    </row>
    <row r="113" spans="1:10" x14ac:dyDescent="0.3">
      <c r="A113" s="2" t="s">
        <v>27</v>
      </c>
      <c r="B113" s="2" t="s">
        <v>33</v>
      </c>
      <c r="C113" s="2" t="s">
        <v>9</v>
      </c>
      <c r="D113" s="2" cm="1">
        <f t="array" ref="D11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13" s="2">
        <v>4</v>
      </c>
      <c r="F113" s="2">
        <v>607</v>
      </c>
      <c r="G113" s="2" t="str" cm="1">
        <f t="array" ref="G11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3" s="2">
        <v>3500</v>
      </c>
      <c r="I113" s="3">
        <f>TabelaFretes[[#This Row],[Valor]]/TabelaFretes[[#This Row],[Quilometragem]]</f>
        <v>5.7660626029654036</v>
      </c>
      <c r="J113" s="3">
        <f>TabelaFretes[[#This Row],[Valor]]/TabelaFretes[[#This Row],[Capacidade]]</f>
        <v>184.21052631578948</v>
      </c>
    </row>
    <row r="114" spans="1:10" x14ac:dyDescent="0.3">
      <c r="A114" s="2" t="s">
        <v>27</v>
      </c>
      <c r="B114" s="2" t="s">
        <v>33</v>
      </c>
      <c r="C114" s="2" t="s">
        <v>6</v>
      </c>
      <c r="D114" s="2" cm="1">
        <f t="array" ref="D11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14" s="2">
        <v>5</v>
      </c>
      <c r="F114" s="2">
        <v>607</v>
      </c>
      <c r="G114" s="2" t="str" cm="1">
        <f t="array" ref="G11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4" s="2">
        <v>3500</v>
      </c>
      <c r="I114" s="3">
        <f>TabelaFretes[[#This Row],[Valor]]/TabelaFretes[[#This Row],[Quilometragem]]</f>
        <v>5.7660626029654036</v>
      </c>
      <c r="J114" s="3">
        <f>TabelaFretes[[#This Row],[Valor]]/TabelaFretes[[#This Row],[Capacidade]]</f>
        <v>129.62962962962962</v>
      </c>
    </row>
    <row r="115" spans="1:10" x14ac:dyDescent="0.3">
      <c r="A115" s="2" t="s">
        <v>27</v>
      </c>
      <c r="B115" s="2" t="s">
        <v>34</v>
      </c>
      <c r="C115" s="2" t="s">
        <v>7</v>
      </c>
      <c r="D115" s="2" cm="1">
        <f t="array" ref="D11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15" s="2">
        <v>3</v>
      </c>
      <c r="F115" s="2">
        <v>709</v>
      </c>
      <c r="G115" s="2" t="str" cm="1">
        <f t="array" ref="G11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5" s="2">
        <v>3000</v>
      </c>
      <c r="I115" s="3">
        <f>TabelaFretes[[#This Row],[Valor]]/TabelaFretes[[#This Row],[Quilometragem]]</f>
        <v>4.2313117066290546</v>
      </c>
      <c r="J115" s="3">
        <f>TabelaFretes[[#This Row],[Valor]]/TabelaFretes[[#This Row],[Capacidade]]</f>
        <v>214.28571428571428</v>
      </c>
    </row>
    <row r="116" spans="1:10" x14ac:dyDescent="0.3">
      <c r="A116" s="2" t="s">
        <v>27</v>
      </c>
      <c r="B116" s="2" t="s">
        <v>35</v>
      </c>
      <c r="C116" s="2" t="s">
        <v>7</v>
      </c>
      <c r="D116" s="2" cm="1">
        <f t="array" ref="D11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16" s="2">
        <v>3</v>
      </c>
      <c r="F116" s="2">
        <v>804</v>
      </c>
      <c r="G116" s="2" t="str" cm="1">
        <f t="array" ref="G11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6" s="2">
        <v>3200</v>
      </c>
      <c r="I116" s="3">
        <f>TabelaFretes[[#This Row],[Valor]]/TabelaFretes[[#This Row],[Quilometragem]]</f>
        <v>3.9800995024875623</v>
      </c>
      <c r="J116" s="3">
        <f>TabelaFretes[[#This Row],[Valor]]/TabelaFretes[[#This Row],[Capacidade]]</f>
        <v>228.57142857142858</v>
      </c>
    </row>
    <row r="117" spans="1:10" x14ac:dyDescent="0.3">
      <c r="A117" s="2" t="s">
        <v>27</v>
      </c>
      <c r="B117" s="2" t="s">
        <v>36</v>
      </c>
      <c r="C117" s="2" t="s">
        <v>7</v>
      </c>
      <c r="D117" s="2" cm="1">
        <f t="array" ref="D11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17" s="2">
        <v>3</v>
      </c>
      <c r="F117" s="2">
        <v>541</v>
      </c>
      <c r="G117" s="2" t="str" cm="1">
        <f t="array" ref="G11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7" s="2">
        <v>3000</v>
      </c>
      <c r="I117" s="3">
        <f>TabelaFretes[[#This Row],[Valor]]/TabelaFretes[[#This Row],[Quilometragem]]</f>
        <v>5.5452865064695009</v>
      </c>
      <c r="J117" s="3">
        <f>TabelaFretes[[#This Row],[Valor]]/TabelaFretes[[#This Row],[Capacidade]]</f>
        <v>214.28571428571428</v>
      </c>
    </row>
    <row r="118" spans="1:10" x14ac:dyDescent="0.3">
      <c r="A118" s="2" t="s">
        <v>27</v>
      </c>
      <c r="B118" s="2" t="s">
        <v>37</v>
      </c>
      <c r="C118" s="2" t="s">
        <v>7</v>
      </c>
      <c r="D118" s="2" cm="1">
        <f t="array" ref="D11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18" s="2">
        <v>3</v>
      </c>
      <c r="F118" s="2">
        <v>578</v>
      </c>
      <c r="G118" s="2" t="str" cm="1">
        <f t="array" ref="G11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8" s="2">
        <v>2800</v>
      </c>
      <c r="I118" s="3">
        <f>TabelaFretes[[#This Row],[Valor]]/TabelaFretes[[#This Row],[Quilometragem]]</f>
        <v>4.844290657439446</v>
      </c>
      <c r="J118" s="3">
        <f>TabelaFretes[[#This Row],[Valor]]/TabelaFretes[[#This Row],[Capacidade]]</f>
        <v>200</v>
      </c>
    </row>
    <row r="119" spans="1:10" x14ac:dyDescent="0.3">
      <c r="A119" s="2" t="s">
        <v>27</v>
      </c>
      <c r="B119" s="2" t="s">
        <v>38</v>
      </c>
      <c r="C119" s="2" t="s">
        <v>7</v>
      </c>
      <c r="D119" s="2" cm="1">
        <f t="array" ref="D11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19" s="2">
        <v>3</v>
      </c>
      <c r="F119" s="2">
        <v>764</v>
      </c>
      <c r="G119" s="2" t="str" cm="1">
        <f t="array" ref="G11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19" s="2">
        <v>3100</v>
      </c>
      <c r="I119" s="3">
        <f>TabelaFretes[[#This Row],[Valor]]/TabelaFretes[[#This Row],[Quilometragem]]</f>
        <v>4.0575916230366493</v>
      </c>
      <c r="J119" s="3">
        <f>TabelaFretes[[#This Row],[Valor]]/TabelaFretes[[#This Row],[Capacidade]]</f>
        <v>221.42857142857142</v>
      </c>
    </row>
    <row r="120" spans="1:10" x14ac:dyDescent="0.3">
      <c r="A120" s="2" t="s">
        <v>27</v>
      </c>
      <c r="B120" s="2" t="s">
        <v>39</v>
      </c>
      <c r="C120" s="2" t="s">
        <v>7</v>
      </c>
      <c r="D120" s="2" cm="1">
        <f t="array" ref="D12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20" s="2">
        <v>3</v>
      </c>
      <c r="F120" s="2">
        <v>710</v>
      </c>
      <c r="G120" s="2" t="str" cm="1">
        <f t="array" ref="G12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20" s="2">
        <v>3100</v>
      </c>
      <c r="I120" s="3">
        <f>TabelaFretes[[#This Row],[Valor]]/TabelaFretes[[#This Row],[Quilometragem]]</f>
        <v>4.3661971830985919</v>
      </c>
      <c r="J120" s="3">
        <f>TabelaFretes[[#This Row],[Valor]]/TabelaFretes[[#This Row],[Capacidade]]</f>
        <v>221.42857142857142</v>
      </c>
    </row>
    <row r="121" spans="1:10" x14ac:dyDescent="0.3">
      <c r="A121" s="2" t="s">
        <v>27</v>
      </c>
      <c r="B121" s="2" t="s">
        <v>40</v>
      </c>
      <c r="C121" s="2" t="s">
        <v>7</v>
      </c>
      <c r="D121" s="2" cm="1">
        <f t="array" ref="D12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21" s="2">
        <v>3</v>
      </c>
      <c r="F121" s="2">
        <v>637</v>
      </c>
      <c r="G121" s="2" t="str" cm="1">
        <f t="array" ref="G12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21" s="2">
        <v>3000</v>
      </c>
      <c r="I121" s="3">
        <f>TabelaFretes[[#This Row],[Valor]]/TabelaFretes[[#This Row],[Quilometragem]]</f>
        <v>4.7095761381475665</v>
      </c>
      <c r="J121" s="3">
        <f>TabelaFretes[[#This Row],[Valor]]/TabelaFretes[[#This Row],[Capacidade]]</f>
        <v>214.28571428571428</v>
      </c>
    </row>
    <row r="122" spans="1:10" x14ac:dyDescent="0.3">
      <c r="A122" s="2" t="s">
        <v>27</v>
      </c>
      <c r="B122" s="2" t="s">
        <v>41</v>
      </c>
      <c r="C122" s="2" t="s">
        <v>7</v>
      </c>
      <c r="D122" s="2" cm="1">
        <f t="array" ref="D12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22" s="2">
        <v>3</v>
      </c>
      <c r="F122" s="2">
        <v>1073</v>
      </c>
      <c r="G122" s="2" t="str" cm="1">
        <f t="array" ref="G12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22" s="2">
        <v>5400</v>
      </c>
      <c r="I122" s="3">
        <f>TabelaFretes[[#This Row],[Valor]]/TabelaFretes[[#This Row],[Quilometragem]]</f>
        <v>5.0326188257222739</v>
      </c>
      <c r="J122" s="3">
        <f>TabelaFretes[[#This Row],[Valor]]/TabelaFretes[[#This Row],[Capacidade]]</f>
        <v>385.71428571428572</v>
      </c>
    </row>
    <row r="123" spans="1:10" x14ac:dyDescent="0.3">
      <c r="A123" s="2" t="s">
        <v>27</v>
      </c>
      <c r="B123" s="2" t="s">
        <v>42</v>
      </c>
      <c r="C123" s="2" t="s">
        <v>7</v>
      </c>
      <c r="D123" s="2" cm="1">
        <f t="array" ref="D12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23" s="2">
        <v>3</v>
      </c>
      <c r="F123" s="2">
        <v>1111</v>
      </c>
      <c r="G123" s="2" t="str" cm="1">
        <f t="array" ref="G12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23" s="2">
        <v>5500</v>
      </c>
      <c r="I123" s="3">
        <f>TabelaFretes[[#This Row],[Valor]]/TabelaFretes[[#This Row],[Quilometragem]]</f>
        <v>4.9504950495049505</v>
      </c>
      <c r="J123" s="3">
        <f>TabelaFretes[[#This Row],[Valor]]/TabelaFretes[[#This Row],[Capacidade]]</f>
        <v>392.85714285714283</v>
      </c>
    </row>
    <row r="124" spans="1:10" x14ac:dyDescent="0.3">
      <c r="A124" s="2" t="s">
        <v>27</v>
      </c>
      <c r="B124" s="2" t="s">
        <v>43</v>
      </c>
      <c r="C124" s="2" t="s">
        <v>7</v>
      </c>
      <c r="D124" s="2" cm="1">
        <f t="array" ref="D12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24" s="2">
        <v>3</v>
      </c>
      <c r="F124" s="2">
        <v>661</v>
      </c>
      <c r="G124" s="2" t="str" cm="1">
        <f t="array" ref="G12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124" s="2">
        <v>3000</v>
      </c>
      <c r="I124" s="3">
        <f>TabelaFretes[[#This Row],[Valor]]/TabelaFretes[[#This Row],[Quilometragem]]</f>
        <v>4.5385779122541603</v>
      </c>
      <c r="J124" s="3">
        <f>TabelaFretes[[#This Row],[Valor]]/TabelaFretes[[#This Row],[Capacidade]]</f>
        <v>214.28571428571428</v>
      </c>
    </row>
    <row r="125" spans="1:10" x14ac:dyDescent="0.3">
      <c r="A125" s="2" t="s">
        <v>281</v>
      </c>
      <c r="B125" s="2" t="s">
        <v>282</v>
      </c>
      <c r="C125" s="2" t="s">
        <v>7</v>
      </c>
      <c r="D125" s="2" cm="1">
        <f t="array" ref="D12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25" s="2">
        <v>3</v>
      </c>
      <c r="F125" s="2">
        <v>2110</v>
      </c>
      <c r="G125" s="2" t="str" cm="1">
        <f t="array" ref="G12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25" s="2">
        <v>7500</v>
      </c>
      <c r="I125" s="3">
        <f>TabelaFretes[[#This Row],[Valor]]/TabelaFretes[[#This Row],[Quilometragem]]</f>
        <v>3.5545023696682465</v>
      </c>
      <c r="J125" s="3">
        <f>TabelaFretes[[#This Row],[Valor]]/TabelaFretes[[#This Row],[Capacidade]]</f>
        <v>535.71428571428567</v>
      </c>
    </row>
    <row r="126" spans="1:10" x14ac:dyDescent="0.3">
      <c r="A126" s="2" t="s">
        <v>281</v>
      </c>
      <c r="B126" s="2" t="s">
        <v>282</v>
      </c>
      <c r="C126" s="2" t="s">
        <v>6</v>
      </c>
      <c r="D126" s="2" cm="1">
        <f t="array" ref="D12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26" s="2">
        <v>5</v>
      </c>
      <c r="F126" s="2">
        <v>2110</v>
      </c>
      <c r="G126" s="2" t="str" cm="1">
        <f t="array" ref="G12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26" s="2">
        <v>13800</v>
      </c>
      <c r="I126" s="3">
        <f>TabelaFretes[[#This Row],[Valor]]/TabelaFretes[[#This Row],[Quilometragem]]</f>
        <v>6.540284360189573</v>
      </c>
      <c r="J126" s="3">
        <f>TabelaFretes[[#This Row],[Valor]]/TabelaFretes[[#This Row],[Capacidade]]</f>
        <v>511.11111111111109</v>
      </c>
    </row>
    <row r="127" spans="1:10" x14ac:dyDescent="0.3">
      <c r="A127" s="2" t="s">
        <v>278</v>
      </c>
      <c r="B127" s="2" t="s">
        <v>279</v>
      </c>
      <c r="C127" s="2" t="s">
        <v>7</v>
      </c>
      <c r="D127" s="2" cm="1">
        <f t="array" ref="D12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27" s="2">
        <v>3</v>
      </c>
      <c r="F127" s="2">
        <v>2256</v>
      </c>
      <c r="G127" s="2" t="str" cm="1">
        <f t="array" ref="G12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27" s="2">
        <v>7700</v>
      </c>
      <c r="I127" s="3">
        <f>TabelaFretes[[#This Row],[Valor]]/TabelaFretes[[#This Row],[Quilometragem]]</f>
        <v>3.4131205673758864</v>
      </c>
      <c r="J127" s="3">
        <f>TabelaFretes[[#This Row],[Valor]]/TabelaFretes[[#This Row],[Capacidade]]</f>
        <v>550</v>
      </c>
    </row>
    <row r="128" spans="1:10" x14ac:dyDescent="0.3">
      <c r="A128" s="2" t="s">
        <v>278</v>
      </c>
      <c r="B128" s="2" t="s">
        <v>279</v>
      </c>
      <c r="C128" s="2" t="s">
        <v>9</v>
      </c>
      <c r="D128" s="2" cm="1">
        <f t="array" ref="D12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28" s="2">
        <v>4</v>
      </c>
      <c r="F128" s="2">
        <v>2256</v>
      </c>
      <c r="G128" s="2" t="str" cm="1">
        <f t="array" ref="G12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28" s="2">
        <v>11000</v>
      </c>
      <c r="I128" s="3">
        <f>TabelaFretes[[#This Row],[Valor]]/TabelaFretes[[#This Row],[Quilometragem]]</f>
        <v>4.875886524822695</v>
      </c>
      <c r="J128" s="3">
        <f>TabelaFretes[[#This Row],[Valor]]/TabelaFretes[[#This Row],[Capacidade]]</f>
        <v>578.9473684210526</v>
      </c>
    </row>
    <row r="129" spans="1:10" x14ac:dyDescent="0.3">
      <c r="A129" s="2" t="s">
        <v>278</v>
      </c>
      <c r="B129" s="2" t="s">
        <v>279</v>
      </c>
      <c r="C129" s="2" t="s">
        <v>6</v>
      </c>
      <c r="D129" s="2" cm="1">
        <f t="array" ref="D12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29" s="2">
        <v>5</v>
      </c>
      <c r="F129" s="2">
        <v>2256</v>
      </c>
      <c r="G129" s="2" t="str" cm="1">
        <f t="array" ref="G12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29" s="2">
        <v>14000</v>
      </c>
      <c r="I129" s="3">
        <f>TabelaFretes[[#This Row],[Valor]]/TabelaFretes[[#This Row],[Quilometragem]]</f>
        <v>6.205673758865248</v>
      </c>
      <c r="J129" s="3">
        <f>TabelaFretes[[#This Row],[Valor]]/TabelaFretes[[#This Row],[Capacidade]]</f>
        <v>518.51851851851848</v>
      </c>
    </row>
    <row r="130" spans="1:10" x14ac:dyDescent="0.3">
      <c r="A130" s="2" t="s">
        <v>278</v>
      </c>
      <c r="B130" s="2" t="s">
        <v>280</v>
      </c>
      <c r="C130" s="2" t="s">
        <v>6</v>
      </c>
      <c r="D130" s="2" cm="1">
        <f t="array" ref="D13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30" s="2">
        <v>5</v>
      </c>
      <c r="F130" s="2">
        <v>2324</v>
      </c>
      <c r="G130" s="2" t="str" cm="1">
        <f t="array" ref="G13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30" s="2">
        <v>13800</v>
      </c>
      <c r="I130" s="3">
        <f>TabelaFretes[[#This Row],[Valor]]/TabelaFretes[[#This Row],[Quilometragem]]</f>
        <v>5.9380378657487087</v>
      </c>
      <c r="J130" s="3">
        <f>TabelaFretes[[#This Row],[Valor]]/TabelaFretes[[#This Row],[Capacidade]]</f>
        <v>511.11111111111109</v>
      </c>
    </row>
    <row r="131" spans="1:10" x14ac:dyDescent="0.3">
      <c r="A131" s="2" t="s">
        <v>19</v>
      </c>
      <c r="B131" s="2" t="s">
        <v>20</v>
      </c>
      <c r="C131" s="2" t="s">
        <v>7</v>
      </c>
      <c r="D131" s="2" cm="1">
        <f t="array" ref="D13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31" s="2">
        <v>3</v>
      </c>
      <c r="F131" s="2">
        <v>1778</v>
      </c>
      <c r="G131" s="2" t="str" cm="1">
        <f t="array" ref="G13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31" s="2">
        <v>5800</v>
      </c>
      <c r="I131" s="3">
        <f>TabelaFretes[[#This Row],[Valor]]/TabelaFretes[[#This Row],[Quilometragem]]</f>
        <v>3.2620922384701911</v>
      </c>
      <c r="J131" s="3">
        <f>TabelaFretes[[#This Row],[Valor]]/TabelaFretes[[#This Row],[Capacidade]]</f>
        <v>414.28571428571428</v>
      </c>
    </row>
    <row r="132" spans="1:10" x14ac:dyDescent="0.3">
      <c r="A132" s="2" t="s">
        <v>19</v>
      </c>
      <c r="B132" s="2" t="s">
        <v>21</v>
      </c>
      <c r="C132" s="2" t="s">
        <v>7</v>
      </c>
      <c r="D132" s="2" cm="1">
        <f t="array" ref="D13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32" s="2">
        <v>3</v>
      </c>
      <c r="F132" s="2">
        <v>1338</v>
      </c>
      <c r="G132" s="2" t="str" cm="1">
        <f t="array" ref="G13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32" s="2">
        <v>6000</v>
      </c>
      <c r="I132" s="3">
        <f>TabelaFretes[[#This Row],[Valor]]/TabelaFretes[[#This Row],[Quilometragem]]</f>
        <v>4.4843049327354256</v>
      </c>
      <c r="J132" s="3">
        <f>TabelaFretes[[#This Row],[Valor]]/TabelaFretes[[#This Row],[Capacidade]]</f>
        <v>428.57142857142856</v>
      </c>
    </row>
    <row r="133" spans="1:10" x14ac:dyDescent="0.3">
      <c r="A133" s="2" t="s">
        <v>19</v>
      </c>
      <c r="B133" s="2" t="s">
        <v>21</v>
      </c>
      <c r="C133" s="2" t="s">
        <v>9</v>
      </c>
      <c r="D133" s="2" cm="1">
        <f t="array" ref="D13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33" s="2">
        <v>4</v>
      </c>
      <c r="F133" s="2">
        <v>1338</v>
      </c>
      <c r="G133" s="2" t="str" cm="1">
        <f t="array" ref="G13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33" s="2">
        <v>6000</v>
      </c>
      <c r="I133" s="3">
        <f>TabelaFretes[[#This Row],[Valor]]/TabelaFretes[[#This Row],[Quilometragem]]</f>
        <v>4.4843049327354256</v>
      </c>
      <c r="J133" s="3">
        <f>TabelaFretes[[#This Row],[Valor]]/TabelaFretes[[#This Row],[Capacidade]]</f>
        <v>315.78947368421052</v>
      </c>
    </row>
    <row r="134" spans="1:10" x14ac:dyDescent="0.3">
      <c r="A134" s="2" t="s">
        <v>19</v>
      </c>
      <c r="B134" s="2" t="s">
        <v>22</v>
      </c>
      <c r="C134" s="2" t="s">
        <v>7</v>
      </c>
      <c r="D134" s="2" cm="1">
        <f t="array" ref="D13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34" s="2">
        <v>3</v>
      </c>
      <c r="F134" s="2">
        <v>1685</v>
      </c>
      <c r="G134" s="2" t="str" cm="1">
        <f t="array" ref="G13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34" s="2">
        <v>5200</v>
      </c>
      <c r="I134" s="3">
        <f>TabelaFretes[[#This Row],[Valor]]/TabelaFretes[[#This Row],[Quilometragem]]</f>
        <v>3.086053412462908</v>
      </c>
      <c r="J134" s="3">
        <f>TabelaFretes[[#This Row],[Valor]]/TabelaFretes[[#This Row],[Capacidade]]</f>
        <v>371.42857142857144</v>
      </c>
    </row>
    <row r="135" spans="1:10" x14ac:dyDescent="0.3">
      <c r="A135" s="2" t="s">
        <v>19</v>
      </c>
      <c r="B135" s="2" t="s">
        <v>23</v>
      </c>
      <c r="C135" s="2" t="s">
        <v>7</v>
      </c>
      <c r="D135" s="2" cm="1">
        <f t="array" ref="D13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35" s="2">
        <v>3</v>
      </c>
      <c r="F135" s="2">
        <v>1523</v>
      </c>
      <c r="G135" s="2" t="str" cm="1">
        <f t="array" ref="G13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35" s="2">
        <v>6500</v>
      </c>
      <c r="I135" s="3">
        <f>TabelaFretes[[#This Row],[Valor]]/TabelaFretes[[#This Row],[Quilometragem]]</f>
        <v>4.2678923177938284</v>
      </c>
      <c r="J135" s="3">
        <f>TabelaFretes[[#This Row],[Valor]]/TabelaFretes[[#This Row],[Capacidade]]</f>
        <v>464.28571428571428</v>
      </c>
    </row>
    <row r="136" spans="1:10" x14ac:dyDescent="0.3">
      <c r="A136" s="2" t="s">
        <v>19</v>
      </c>
      <c r="B136" s="2" t="s">
        <v>23</v>
      </c>
      <c r="C136" s="2" t="s">
        <v>6</v>
      </c>
      <c r="D136" s="2" cm="1">
        <f t="array" ref="D13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36" s="2">
        <v>5</v>
      </c>
      <c r="F136" s="2">
        <v>1523</v>
      </c>
      <c r="G136" s="2" t="str" cm="1">
        <f t="array" ref="G13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36" s="2">
        <v>9000</v>
      </c>
      <c r="I136" s="3">
        <f>TabelaFretes[[#This Row],[Valor]]/TabelaFretes[[#This Row],[Quilometragem]]</f>
        <v>5.9093893630991463</v>
      </c>
      <c r="J136" s="3">
        <f>TabelaFretes[[#This Row],[Valor]]/TabelaFretes[[#This Row],[Capacidade]]</f>
        <v>333.33333333333331</v>
      </c>
    </row>
    <row r="137" spans="1:10" x14ac:dyDescent="0.3">
      <c r="A137" s="2" t="s">
        <v>19</v>
      </c>
      <c r="B137" s="2" t="s">
        <v>24</v>
      </c>
      <c r="C137" s="2" t="s">
        <v>7</v>
      </c>
      <c r="D137" s="2" cm="1">
        <f t="array" ref="D13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37" s="2">
        <v>3</v>
      </c>
      <c r="F137" s="2">
        <v>1712</v>
      </c>
      <c r="G137" s="2" t="str" cm="1">
        <f t="array" ref="G13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37" s="2">
        <v>5500</v>
      </c>
      <c r="I137" s="3">
        <f>TabelaFretes[[#This Row],[Valor]]/TabelaFretes[[#This Row],[Quilometragem]]</f>
        <v>3.2126168224299065</v>
      </c>
      <c r="J137" s="3">
        <f>TabelaFretes[[#This Row],[Valor]]/TabelaFretes[[#This Row],[Capacidade]]</f>
        <v>392.85714285714283</v>
      </c>
    </row>
    <row r="138" spans="1:10" x14ac:dyDescent="0.3">
      <c r="A138" s="2" t="s">
        <v>19</v>
      </c>
      <c r="B138" s="2" t="s">
        <v>24</v>
      </c>
      <c r="C138" s="2" t="s">
        <v>6</v>
      </c>
      <c r="D138" s="2" cm="1">
        <f t="array" ref="D13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38" s="2">
        <v>5</v>
      </c>
      <c r="F138" s="2">
        <v>1712</v>
      </c>
      <c r="G138" s="2" t="str" cm="1">
        <f t="array" ref="G13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38" s="2">
        <v>10000</v>
      </c>
      <c r="I138" s="3">
        <f>TabelaFretes[[#This Row],[Valor]]/TabelaFretes[[#This Row],[Quilometragem]]</f>
        <v>5.8411214953271031</v>
      </c>
      <c r="J138" s="3">
        <f>TabelaFretes[[#This Row],[Valor]]/TabelaFretes[[#This Row],[Capacidade]]</f>
        <v>370.37037037037038</v>
      </c>
    </row>
    <row r="139" spans="1:10" x14ac:dyDescent="0.3">
      <c r="A139" s="2" t="s">
        <v>172</v>
      </c>
      <c r="B139" s="2" t="s">
        <v>173</v>
      </c>
      <c r="C139" s="2" t="s">
        <v>7</v>
      </c>
      <c r="D139" s="2" cm="1">
        <f t="array" ref="D13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39" s="2">
        <v>3</v>
      </c>
      <c r="F139" s="2">
        <v>2413</v>
      </c>
      <c r="G139" s="2" t="str" cm="1">
        <f t="array" ref="G13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39" s="2">
        <v>7700</v>
      </c>
      <c r="I139" s="3">
        <f>TabelaFretes[[#This Row],[Valor]]/TabelaFretes[[#This Row],[Quilometragem]]</f>
        <v>3.1910484873601326</v>
      </c>
      <c r="J139" s="3">
        <f>TabelaFretes[[#This Row],[Valor]]/TabelaFretes[[#This Row],[Capacidade]]</f>
        <v>550</v>
      </c>
    </row>
    <row r="140" spans="1:10" x14ac:dyDescent="0.3">
      <c r="A140" s="2" t="s">
        <v>172</v>
      </c>
      <c r="B140" s="2" t="s">
        <v>173</v>
      </c>
      <c r="C140" s="2" t="s">
        <v>6</v>
      </c>
      <c r="D140" s="2" cm="1">
        <f t="array" ref="D14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40" s="2">
        <v>5</v>
      </c>
      <c r="F140" s="2">
        <v>2413</v>
      </c>
      <c r="G140" s="2" t="str" cm="1">
        <f t="array" ref="G14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40" s="2">
        <v>14000</v>
      </c>
      <c r="I140" s="3">
        <f>TabelaFretes[[#This Row],[Valor]]/TabelaFretes[[#This Row],[Quilometragem]]</f>
        <v>5.8019063406547868</v>
      </c>
      <c r="J140" s="3">
        <f>TabelaFretes[[#This Row],[Valor]]/TabelaFretes[[#This Row],[Capacidade]]</f>
        <v>518.51851851851848</v>
      </c>
    </row>
    <row r="141" spans="1:10" x14ac:dyDescent="0.3">
      <c r="A141" s="2" t="s">
        <v>172</v>
      </c>
      <c r="B141" s="2" t="s">
        <v>173</v>
      </c>
      <c r="C141" s="2" t="s">
        <v>158</v>
      </c>
      <c r="D141" s="2" cm="1">
        <f t="array" ref="D14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41" s="2">
        <v>6</v>
      </c>
      <c r="F141" s="2">
        <v>2413</v>
      </c>
      <c r="G141" s="2" t="str" cm="1">
        <f t="array" ref="G14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41" s="2">
        <v>14000</v>
      </c>
      <c r="I141" s="3">
        <f>TabelaFretes[[#This Row],[Valor]]/TabelaFretes[[#This Row],[Quilometragem]]</f>
        <v>5.8019063406547868</v>
      </c>
      <c r="J141" s="3">
        <f>TabelaFretes[[#This Row],[Valor]]/TabelaFretes[[#This Row],[Capacidade]]</f>
        <v>437.5</v>
      </c>
    </row>
    <row r="142" spans="1:10" x14ac:dyDescent="0.3">
      <c r="A142" s="2" t="s">
        <v>172</v>
      </c>
      <c r="B142" s="2" t="s">
        <v>174</v>
      </c>
      <c r="C142" s="2" t="s">
        <v>7</v>
      </c>
      <c r="D142" s="2" cm="1">
        <f t="array" ref="D14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42" s="2">
        <v>3</v>
      </c>
      <c r="F142" s="2">
        <v>2099</v>
      </c>
      <c r="G142" s="2" t="str" cm="1">
        <f t="array" ref="G14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42" s="2">
        <v>7700</v>
      </c>
      <c r="I142" s="3">
        <f>TabelaFretes[[#This Row],[Valor]]/TabelaFretes[[#This Row],[Quilometragem]]</f>
        <v>3.6684135302525012</v>
      </c>
      <c r="J142" s="3">
        <f>TabelaFretes[[#This Row],[Valor]]/TabelaFretes[[#This Row],[Capacidade]]</f>
        <v>550</v>
      </c>
    </row>
    <row r="143" spans="1:10" x14ac:dyDescent="0.3">
      <c r="A143" s="2" t="s">
        <v>172</v>
      </c>
      <c r="B143" s="2" t="s">
        <v>174</v>
      </c>
      <c r="C143" s="2" t="s">
        <v>9</v>
      </c>
      <c r="D143" s="2" cm="1">
        <f t="array" ref="D14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43" s="2">
        <v>4</v>
      </c>
      <c r="F143" s="2">
        <v>2099</v>
      </c>
      <c r="G143" s="2" t="str" cm="1">
        <f t="array" ref="G14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43" s="2">
        <v>10450</v>
      </c>
      <c r="I143" s="3">
        <f>TabelaFretes[[#This Row],[Valor]]/TabelaFretes[[#This Row],[Quilometragem]]</f>
        <v>4.9785612196283946</v>
      </c>
      <c r="J143" s="3">
        <f>TabelaFretes[[#This Row],[Valor]]/TabelaFretes[[#This Row],[Capacidade]]</f>
        <v>550</v>
      </c>
    </row>
    <row r="144" spans="1:10" x14ac:dyDescent="0.3">
      <c r="A144" s="2" t="s">
        <v>172</v>
      </c>
      <c r="B144" s="2" t="s">
        <v>174</v>
      </c>
      <c r="C144" s="2" t="s">
        <v>6</v>
      </c>
      <c r="D144" s="2" cm="1">
        <f t="array" ref="D14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44" s="2">
        <v>5</v>
      </c>
      <c r="F144" s="2">
        <v>2099</v>
      </c>
      <c r="G144" s="2" t="str" cm="1">
        <f t="array" ref="G14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44" s="2">
        <v>13200</v>
      </c>
      <c r="I144" s="3">
        <f>TabelaFretes[[#This Row],[Valor]]/TabelaFretes[[#This Row],[Quilometragem]]</f>
        <v>6.2887089090042876</v>
      </c>
      <c r="J144" s="3">
        <f>TabelaFretes[[#This Row],[Valor]]/TabelaFretes[[#This Row],[Capacidade]]</f>
        <v>488.88888888888891</v>
      </c>
    </row>
    <row r="145" spans="1:10" x14ac:dyDescent="0.3">
      <c r="A145" s="2" t="s">
        <v>172</v>
      </c>
      <c r="B145" s="2" t="s">
        <v>174</v>
      </c>
      <c r="C145" s="2" t="s">
        <v>158</v>
      </c>
      <c r="D145" s="2" cm="1">
        <f t="array" ref="D14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45" s="2">
        <v>6</v>
      </c>
      <c r="F145" s="2">
        <v>2099</v>
      </c>
      <c r="G145" s="2" t="str" cm="1">
        <f t="array" ref="G14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45" s="2">
        <v>14000</v>
      </c>
      <c r="I145" s="3">
        <f>TabelaFretes[[#This Row],[Valor]]/TabelaFretes[[#This Row],[Quilometragem]]</f>
        <v>6.669842782277275</v>
      </c>
      <c r="J145" s="3">
        <f>TabelaFretes[[#This Row],[Valor]]/TabelaFretes[[#This Row],[Capacidade]]</f>
        <v>437.5</v>
      </c>
    </row>
    <row r="146" spans="1:10" x14ac:dyDescent="0.3">
      <c r="A146" s="2" t="s">
        <v>172</v>
      </c>
      <c r="B146" s="2" t="s">
        <v>175</v>
      </c>
      <c r="C146" s="2" t="s">
        <v>7</v>
      </c>
      <c r="D146" s="2" cm="1">
        <f t="array" ref="D14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46" s="2">
        <v>3</v>
      </c>
      <c r="F146" s="2">
        <v>2343</v>
      </c>
      <c r="G146" s="2" t="str" cm="1">
        <f t="array" ref="G14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46" s="2">
        <v>7700</v>
      </c>
      <c r="I146" s="3">
        <f>TabelaFretes[[#This Row],[Valor]]/TabelaFretes[[#This Row],[Quilometragem]]</f>
        <v>3.2863849765258215</v>
      </c>
      <c r="J146" s="3">
        <f>TabelaFretes[[#This Row],[Valor]]/TabelaFretes[[#This Row],[Capacidade]]</f>
        <v>550</v>
      </c>
    </row>
    <row r="147" spans="1:10" x14ac:dyDescent="0.3">
      <c r="A147" s="2" t="s">
        <v>172</v>
      </c>
      <c r="B147" s="2" t="s">
        <v>175</v>
      </c>
      <c r="C147" s="2" t="s">
        <v>6</v>
      </c>
      <c r="D147" s="2" cm="1">
        <f t="array" ref="D14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47" s="2">
        <v>5</v>
      </c>
      <c r="F147" s="2">
        <v>2343</v>
      </c>
      <c r="G147" s="2" t="str" cm="1">
        <f t="array" ref="G14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47" s="2">
        <v>14000</v>
      </c>
      <c r="I147" s="3">
        <f>TabelaFretes[[#This Row],[Valor]]/TabelaFretes[[#This Row],[Quilometragem]]</f>
        <v>5.9752454118651306</v>
      </c>
      <c r="J147" s="3">
        <f>TabelaFretes[[#This Row],[Valor]]/TabelaFretes[[#This Row],[Capacidade]]</f>
        <v>518.51851851851848</v>
      </c>
    </row>
    <row r="148" spans="1:10" x14ac:dyDescent="0.3">
      <c r="A148" s="2" t="s">
        <v>172</v>
      </c>
      <c r="B148" s="2" t="s">
        <v>175</v>
      </c>
      <c r="C148" s="2" t="s">
        <v>158</v>
      </c>
      <c r="D148" s="2" cm="1">
        <f t="array" ref="D14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48" s="2">
        <v>6</v>
      </c>
      <c r="F148" s="2">
        <v>2343</v>
      </c>
      <c r="G148" s="2" t="str" cm="1">
        <f t="array" ref="G14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48" s="2">
        <v>14000</v>
      </c>
      <c r="I148" s="3">
        <f>TabelaFretes[[#This Row],[Valor]]/TabelaFretes[[#This Row],[Quilometragem]]</f>
        <v>5.9752454118651306</v>
      </c>
      <c r="J148" s="3">
        <f>TabelaFretes[[#This Row],[Valor]]/TabelaFretes[[#This Row],[Capacidade]]</f>
        <v>437.5</v>
      </c>
    </row>
    <row r="149" spans="1:10" x14ac:dyDescent="0.3">
      <c r="A149" s="2" t="s">
        <v>172</v>
      </c>
      <c r="B149" s="2" t="s">
        <v>176</v>
      </c>
      <c r="C149" s="2" t="s">
        <v>6</v>
      </c>
      <c r="D149" s="2" cm="1">
        <f t="array" ref="D14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49" s="2">
        <v>5</v>
      </c>
      <c r="F149" s="2">
        <v>1715</v>
      </c>
      <c r="G149" s="2" t="str" cm="1">
        <f t="array" ref="G14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49" s="2">
        <v>14000</v>
      </c>
      <c r="I149" s="3">
        <f>TabelaFretes[[#This Row],[Valor]]/TabelaFretes[[#This Row],[Quilometragem]]</f>
        <v>8.1632653061224492</v>
      </c>
      <c r="J149" s="3">
        <f>TabelaFretes[[#This Row],[Valor]]/TabelaFretes[[#This Row],[Capacidade]]</f>
        <v>518.51851851851848</v>
      </c>
    </row>
    <row r="150" spans="1:10" x14ac:dyDescent="0.3">
      <c r="A150" s="2" t="s">
        <v>172</v>
      </c>
      <c r="B150" s="2" t="s">
        <v>176</v>
      </c>
      <c r="C150" s="2" t="s">
        <v>158</v>
      </c>
      <c r="D150" s="2" cm="1">
        <f t="array" ref="D15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50" s="2">
        <v>6</v>
      </c>
      <c r="F150" s="2">
        <v>1715</v>
      </c>
      <c r="G150" s="2" t="str" cm="1">
        <f t="array" ref="G15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50" s="2">
        <v>14000</v>
      </c>
      <c r="I150" s="3">
        <f>TabelaFretes[[#This Row],[Valor]]/TabelaFretes[[#This Row],[Quilometragem]]</f>
        <v>8.1632653061224492</v>
      </c>
      <c r="J150" s="3">
        <f>TabelaFretes[[#This Row],[Valor]]/TabelaFretes[[#This Row],[Capacidade]]</f>
        <v>437.5</v>
      </c>
    </row>
    <row r="151" spans="1:10" x14ac:dyDescent="0.3">
      <c r="A151" s="2" t="s">
        <v>172</v>
      </c>
      <c r="B151" s="2" t="s">
        <v>177</v>
      </c>
      <c r="C151" s="2" t="s">
        <v>7</v>
      </c>
      <c r="D151" s="2" cm="1">
        <f t="array" ref="D15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51" s="2">
        <v>3</v>
      </c>
      <c r="F151" s="2">
        <v>2084</v>
      </c>
      <c r="G151" s="2" t="str" cm="1">
        <f t="array" ref="G15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51" s="2">
        <v>7700</v>
      </c>
      <c r="I151" s="3">
        <f>TabelaFretes[[#This Row],[Valor]]/TabelaFretes[[#This Row],[Quilometragem]]</f>
        <v>3.6948176583493284</v>
      </c>
      <c r="J151" s="3">
        <f>TabelaFretes[[#This Row],[Valor]]/TabelaFretes[[#This Row],[Capacidade]]</f>
        <v>550</v>
      </c>
    </row>
    <row r="152" spans="1:10" x14ac:dyDescent="0.3">
      <c r="A152" s="2" t="s">
        <v>172</v>
      </c>
      <c r="B152" s="2" t="s">
        <v>177</v>
      </c>
      <c r="C152" s="2" t="s">
        <v>6</v>
      </c>
      <c r="D152" s="2" cm="1">
        <f t="array" ref="D15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52" s="2">
        <v>5</v>
      </c>
      <c r="F152" s="2">
        <v>2084</v>
      </c>
      <c r="G152" s="2" t="str" cm="1">
        <f t="array" ref="G15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52" s="2">
        <v>14000</v>
      </c>
      <c r="I152" s="3">
        <f>TabelaFretes[[#This Row],[Valor]]/TabelaFretes[[#This Row],[Quilometragem]]</f>
        <v>6.7178502879078694</v>
      </c>
      <c r="J152" s="3">
        <f>TabelaFretes[[#This Row],[Valor]]/TabelaFretes[[#This Row],[Capacidade]]</f>
        <v>518.51851851851848</v>
      </c>
    </row>
    <row r="153" spans="1:10" x14ac:dyDescent="0.3">
      <c r="A153" s="2" t="s">
        <v>172</v>
      </c>
      <c r="B153" s="2" t="s">
        <v>177</v>
      </c>
      <c r="C153" s="2" t="s">
        <v>158</v>
      </c>
      <c r="D153" s="2" cm="1">
        <f t="array" ref="D15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53" s="2">
        <v>6</v>
      </c>
      <c r="F153" s="2">
        <v>2084</v>
      </c>
      <c r="G153" s="2" t="str" cm="1">
        <f t="array" ref="G15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53" s="2">
        <v>14000</v>
      </c>
      <c r="I153" s="3">
        <f>TabelaFretes[[#This Row],[Valor]]/TabelaFretes[[#This Row],[Quilometragem]]</f>
        <v>6.7178502879078694</v>
      </c>
      <c r="J153" s="3">
        <f>TabelaFretes[[#This Row],[Valor]]/TabelaFretes[[#This Row],[Capacidade]]</f>
        <v>437.5</v>
      </c>
    </row>
    <row r="154" spans="1:10" x14ac:dyDescent="0.3">
      <c r="A154" s="2" t="s">
        <v>172</v>
      </c>
      <c r="B154" s="2" t="s">
        <v>178</v>
      </c>
      <c r="C154" s="2" t="s">
        <v>7</v>
      </c>
      <c r="D154" s="2" cm="1">
        <f t="array" ref="D15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54" s="2">
        <v>3</v>
      </c>
      <c r="F154" s="2">
        <v>2168</v>
      </c>
      <c r="G154" s="2" t="str" cm="1">
        <f t="array" ref="G15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54" s="2">
        <v>7700</v>
      </c>
      <c r="I154" s="3">
        <f>TabelaFretes[[#This Row],[Valor]]/TabelaFretes[[#This Row],[Quilometragem]]</f>
        <v>3.5516605166051662</v>
      </c>
      <c r="J154" s="3">
        <f>TabelaFretes[[#This Row],[Valor]]/TabelaFretes[[#This Row],[Capacidade]]</f>
        <v>550</v>
      </c>
    </row>
    <row r="155" spans="1:10" x14ac:dyDescent="0.3">
      <c r="A155" s="2" t="s">
        <v>172</v>
      </c>
      <c r="B155" s="2" t="s">
        <v>178</v>
      </c>
      <c r="C155" s="2" t="s">
        <v>9</v>
      </c>
      <c r="D155" s="2" cm="1">
        <f t="array" ref="D15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55" s="2">
        <v>4</v>
      </c>
      <c r="F155" s="2">
        <v>2168</v>
      </c>
      <c r="G155" s="2" t="str" cm="1">
        <f t="array" ref="G15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55" s="2">
        <v>10450</v>
      </c>
      <c r="I155" s="3">
        <f>TabelaFretes[[#This Row],[Valor]]/TabelaFretes[[#This Row],[Quilometragem]]</f>
        <v>4.8201107011070112</v>
      </c>
      <c r="J155" s="3">
        <f>TabelaFretes[[#This Row],[Valor]]/TabelaFretes[[#This Row],[Capacidade]]</f>
        <v>550</v>
      </c>
    </row>
    <row r="156" spans="1:10" x14ac:dyDescent="0.3">
      <c r="A156" s="2" t="s">
        <v>172</v>
      </c>
      <c r="B156" s="2" t="s">
        <v>178</v>
      </c>
      <c r="C156" s="2" t="s">
        <v>6</v>
      </c>
      <c r="D156" s="2" cm="1">
        <f t="array" ref="D15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56" s="2">
        <v>5</v>
      </c>
      <c r="F156" s="2">
        <v>2168</v>
      </c>
      <c r="G156" s="2" t="str" cm="1">
        <f t="array" ref="G15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56" s="2">
        <v>14000</v>
      </c>
      <c r="I156" s="3">
        <f>TabelaFretes[[#This Row],[Valor]]/TabelaFretes[[#This Row],[Quilometragem]]</f>
        <v>6.4575645756457565</v>
      </c>
      <c r="J156" s="3">
        <f>TabelaFretes[[#This Row],[Valor]]/TabelaFretes[[#This Row],[Capacidade]]</f>
        <v>518.51851851851848</v>
      </c>
    </row>
    <row r="157" spans="1:10" x14ac:dyDescent="0.3">
      <c r="A157" s="2" t="s">
        <v>172</v>
      </c>
      <c r="B157" s="2" t="s">
        <v>178</v>
      </c>
      <c r="C157" s="2" t="s">
        <v>158</v>
      </c>
      <c r="D157" s="2" cm="1">
        <f t="array" ref="D15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57" s="2">
        <v>6</v>
      </c>
      <c r="F157" s="2">
        <v>2168</v>
      </c>
      <c r="G157" s="2" t="str" cm="1">
        <f t="array" ref="G15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57" s="2">
        <v>14000</v>
      </c>
      <c r="I157" s="3">
        <f>TabelaFretes[[#This Row],[Valor]]/TabelaFretes[[#This Row],[Quilometragem]]</f>
        <v>6.4575645756457565</v>
      </c>
      <c r="J157" s="3">
        <f>TabelaFretes[[#This Row],[Valor]]/TabelaFretes[[#This Row],[Capacidade]]</f>
        <v>437.5</v>
      </c>
    </row>
    <row r="158" spans="1:10" x14ac:dyDescent="0.3">
      <c r="A158" s="2" t="s">
        <v>172</v>
      </c>
      <c r="B158" s="2" t="s">
        <v>179</v>
      </c>
      <c r="C158" s="2" t="s">
        <v>7</v>
      </c>
      <c r="D158" s="2" cm="1">
        <f t="array" ref="D15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58" s="2">
        <v>3</v>
      </c>
      <c r="F158" s="2">
        <v>2544</v>
      </c>
      <c r="G158" s="2" t="str" cm="1">
        <f t="array" ref="G15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58" s="2">
        <v>7700</v>
      </c>
      <c r="I158" s="3">
        <f>TabelaFretes[[#This Row],[Valor]]/TabelaFretes[[#This Row],[Quilometragem]]</f>
        <v>3.0267295597484276</v>
      </c>
      <c r="J158" s="3">
        <f>TabelaFretes[[#This Row],[Valor]]/TabelaFretes[[#This Row],[Capacidade]]</f>
        <v>550</v>
      </c>
    </row>
    <row r="159" spans="1:10" x14ac:dyDescent="0.3">
      <c r="A159" s="2" t="s">
        <v>172</v>
      </c>
      <c r="B159" s="2" t="s">
        <v>179</v>
      </c>
      <c r="C159" s="2" t="s">
        <v>6</v>
      </c>
      <c r="D159" s="2" cm="1">
        <f t="array" ref="D15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59" s="2">
        <v>5</v>
      </c>
      <c r="F159" s="2">
        <v>2544</v>
      </c>
      <c r="G159" s="2" t="str" cm="1">
        <f t="array" ref="G15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59" s="2">
        <v>14000</v>
      </c>
      <c r="I159" s="3">
        <f>TabelaFretes[[#This Row],[Valor]]/TabelaFretes[[#This Row],[Quilometragem]]</f>
        <v>5.5031446540880502</v>
      </c>
      <c r="J159" s="3">
        <f>TabelaFretes[[#This Row],[Valor]]/TabelaFretes[[#This Row],[Capacidade]]</f>
        <v>518.51851851851848</v>
      </c>
    </row>
    <row r="160" spans="1:10" x14ac:dyDescent="0.3">
      <c r="A160" s="2" t="s">
        <v>172</v>
      </c>
      <c r="B160" s="2" t="s">
        <v>179</v>
      </c>
      <c r="C160" s="2" t="s">
        <v>158</v>
      </c>
      <c r="D160" s="2" cm="1">
        <f t="array" ref="D16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60" s="2">
        <v>6</v>
      </c>
      <c r="F160" s="2">
        <v>2544</v>
      </c>
      <c r="G160" s="2" t="str" cm="1">
        <f t="array" ref="G16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0" s="2">
        <v>14000</v>
      </c>
      <c r="I160" s="3">
        <f>TabelaFretes[[#This Row],[Valor]]/TabelaFretes[[#This Row],[Quilometragem]]</f>
        <v>5.5031446540880502</v>
      </c>
      <c r="J160" s="3">
        <f>TabelaFretes[[#This Row],[Valor]]/TabelaFretes[[#This Row],[Capacidade]]</f>
        <v>437.5</v>
      </c>
    </row>
    <row r="161" spans="1:10" x14ac:dyDescent="0.3">
      <c r="A161" s="2" t="s">
        <v>172</v>
      </c>
      <c r="B161" s="2" t="s">
        <v>180</v>
      </c>
      <c r="C161" s="2" t="s">
        <v>7</v>
      </c>
      <c r="D161" s="2" cm="1">
        <f t="array" ref="D16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61" s="2">
        <v>3</v>
      </c>
      <c r="F161" s="2">
        <v>2221</v>
      </c>
      <c r="G161" s="2" t="str" cm="1">
        <f t="array" ref="G16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1" s="2">
        <v>7700</v>
      </c>
      <c r="I161" s="3">
        <f>TabelaFretes[[#This Row],[Valor]]/TabelaFretes[[#This Row],[Quilometragem]]</f>
        <v>3.4669067987393065</v>
      </c>
      <c r="J161" s="3">
        <f>TabelaFretes[[#This Row],[Valor]]/TabelaFretes[[#This Row],[Capacidade]]</f>
        <v>550</v>
      </c>
    </row>
    <row r="162" spans="1:10" x14ac:dyDescent="0.3">
      <c r="A162" s="2" t="s">
        <v>172</v>
      </c>
      <c r="B162" s="2" t="s">
        <v>180</v>
      </c>
      <c r="C162" s="2" t="s">
        <v>9</v>
      </c>
      <c r="D162" s="2" cm="1">
        <f t="array" ref="D16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62" s="2">
        <v>4</v>
      </c>
      <c r="F162" s="2">
        <v>2221</v>
      </c>
      <c r="G162" s="2" t="str" cm="1">
        <f t="array" ref="G16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2" s="2">
        <v>9900</v>
      </c>
      <c r="I162" s="3">
        <f>TabelaFretes[[#This Row],[Valor]]/TabelaFretes[[#This Row],[Quilometragem]]</f>
        <v>4.4574515983791088</v>
      </c>
      <c r="J162" s="3">
        <f>TabelaFretes[[#This Row],[Valor]]/TabelaFretes[[#This Row],[Capacidade]]</f>
        <v>521.0526315789474</v>
      </c>
    </row>
    <row r="163" spans="1:10" x14ac:dyDescent="0.3">
      <c r="A163" s="2" t="s">
        <v>172</v>
      </c>
      <c r="B163" s="2" t="s">
        <v>180</v>
      </c>
      <c r="C163" s="2" t="s">
        <v>6</v>
      </c>
      <c r="D163" s="2" cm="1">
        <f t="array" ref="D16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63" s="2">
        <v>5</v>
      </c>
      <c r="F163" s="2">
        <v>2221</v>
      </c>
      <c r="G163" s="2" t="str" cm="1">
        <f t="array" ref="G16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3" s="2">
        <v>14000</v>
      </c>
      <c r="I163" s="3">
        <f>TabelaFretes[[#This Row],[Valor]]/TabelaFretes[[#This Row],[Quilometragem]]</f>
        <v>6.3034669067987394</v>
      </c>
      <c r="J163" s="3">
        <f>TabelaFretes[[#This Row],[Valor]]/TabelaFretes[[#This Row],[Capacidade]]</f>
        <v>518.51851851851848</v>
      </c>
    </row>
    <row r="164" spans="1:10" x14ac:dyDescent="0.3">
      <c r="A164" s="2" t="s">
        <v>172</v>
      </c>
      <c r="B164" s="2" t="s">
        <v>180</v>
      </c>
      <c r="C164" s="2" t="s">
        <v>158</v>
      </c>
      <c r="D164" s="2" cm="1">
        <f t="array" ref="D16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64" s="2">
        <v>6</v>
      </c>
      <c r="F164" s="2">
        <v>2221</v>
      </c>
      <c r="G164" s="2" t="str" cm="1">
        <f t="array" ref="G16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4" s="2">
        <v>14000</v>
      </c>
      <c r="I164" s="3">
        <f>TabelaFretes[[#This Row],[Valor]]/TabelaFretes[[#This Row],[Quilometragem]]</f>
        <v>6.3034669067987394</v>
      </c>
      <c r="J164" s="3">
        <f>TabelaFretes[[#This Row],[Valor]]/TabelaFretes[[#This Row],[Capacidade]]</f>
        <v>437.5</v>
      </c>
    </row>
    <row r="165" spans="1:10" x14ac:dyDescent="0.3">
      <c r="A165" s="2" t="s">
        <v>172</v>
      </c>
      <c r="B165" s="2" t="s">
        <v>181</v>
      </c>
      <c r="C165" s="2" t="s">
        <v>7</v>
      </c>
      <c r="D165" s="2" cm="1">
        <f t="array" ref="D16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65" s="2">
        <v>3</v>
      </c>
      <c r="F165" s="2">
        <v>2427</v>
      </c>
      <c r="G165" s="2" t="str" cm="1">
        <f t="array" ref="G16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5" s="2">
        <v>7700</v>
      </c>
      <c r="I165" s="3">
        <f>TabelaFretes[[#This Row],[Valor]]/TabelaFretes[[#This Row],[Quilometragem]]</f>
        <v>3.1726411207251752</v>
      </c>
      <c r="J165" s="3">
        <f>TabelaFretes[[#This Row],[Valor]]/TabelaFretes[[#This Row],[Capacidade]]</f>
        <v>550</v>
      </c>
    </row>
    <row r="166" spans="1:10" x14ac:dyDescent="0.3">
      <c r="A166" s="2" t="s">
        <v>172</v>
      </c>
      <c r="B166" s="2" t="s">
        <v>181</v>
      </c>
      <c r="C166" s="2" t="s">
        <v>6</v>
      </c>
      <c r="D166" s="2" cm="1">
        <f t="array" ref="D16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66" s="2">
        <v>5</v>
      </c>
      <c r="F166" s="2">
        <v>2427</v>
      </c>
      <c r="G166" s="2" t="str" cm="1">
        <f t="array" ref="G16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6" s="2">
        <v>14000</v>
      </c>
      <c r="I166" s="3">
        <f>TabelaFretes[[#This Row],[Valor]]/TabelaFretes[[#This Row],[Quilometragem]]</f>
        <v>5.7684384013184999</v>
      </c>
      <c r="J166" s="3">
        <f>TabelaFretes[[#This Row],[Valor]]/TabelaFretes[[#This Row],[Capacidade]]</f>
        <v>518.51851851851848</v>
      </c>
    </row>
    <row r="167" spans="1:10" x14ac:dyDescent="0.3">
      <c r="A167" s="2" t="s">
        <v>172</v>
      </c>
      <c r="B167" s="2" t="s">
        <v>181</v>
      </c>
      <c r="C167" s="2" t="s">
        <v>158</v>
      </c>
      <c r="D167" s="2" cm="1">
        <f t="array" ref="D16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67" s="2">
        <v>6</v>
      </c>
      <c r="F167" s="2">
        <v>2427</v>
      </c>
      <c r="G167" s="2" t="str" cm="1">
        <f t="array" ref="G16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7" s="2">
        <v>14000</v>
      </c>
      <c r="I167" s="3">
        <f>TabelaFretes[[#This Row],[Valor]]/TabelaFretes[[#This Row],[Quilometragem]]</f>
        <v>5.7684384013184999</v>
      </c>
      <c r="J167" s="3">
        <f>TabelaFretes[[#This Row],[Valor]]/TabelaFretes[[#This Row],[Capacidade]]</f>
        <v>437.5</v>
      </c>
    </row>
    <row r="168" spans="1:10" x14ac:dyDescent="0.3">
      <c r="A168" s="2" t="s">
        <v>172</v>
      </c>
      <c r="B168" s="2" t="s">
        <v>182</v>
      </c>
      <c r="C168" s="2" t="s">
        <v>7</v>
      </c>
      <c r="D168" s="2" cm="1">
        <f t="array" ref="D16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68" s="2">
        <v>3</v>
      </c>
      <c r="F168" s="2">
        <v>2417</v>
      </c>
      <c r="G168" s="2" t="str" cm="1">
        <f t="array" ref="G16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8" s="2">
        <v>7700</v>
      </c>
      <c r="I168" s="3">
        <f>TabelaFretes[[#This Row],[Valor]]/TabelaFretes[[#This Row],[Quilometragem]]</f>
        <v>3.1857674803475384</v>
      </c>
      <c r="J168" s="3">
        <f>TabelaFretes[[#This Row],[Valor]]/TabelaFretes[[#This Row],[Capacidade]]</f>
        <v>550</v>
      </c>
    </row>
    <row r="169" spans="1:10" x14ac:dyDescent="0.3">
      <c r="A169" s="2" t="s">
        <v>172</v>
      </c>
      <c r="B169" s="2" t="s">
        <v>182</v>
      </c>
      <c r="C169" s="2" t="s">
        <v>6</v>
      </c>
      <c r="D169" s="2" cm="1">
        <f t="array" ref="D16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69" s="2">
        <v>5</v>
      </c>
      <c r="F169" s="2">
        <v>2417</v>
      </c>
      <c r="G169" s="2" t="str" cm="1">
        <f t="array" ref="G16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69" s="2">
        <v>14000</v>
      </c>
      <c r="I169" s="3">
        <f>TabelaFretes[[#This Row],[Valor]]/TabelaFretes[[#This Row],[Quilometragem]]</f>
        <v>5.792304509722797</v>
      </c>
      <c r="J169" s="3">
        <f>TabelaFretes[[#This Row],[Valor]]/TabelaFretes[[#This Row],[Capacidade]]</f>
        <v>518.51851851851848</v>
      </c>
    </row>
    <row r="170" spans="1:10" x14ac:dyDescent="0.3">
      <c r="A170" s="2" t="s">
        <v>172</v>
      </c>
      <c r="B170" s="2" t="s">
        <v>182</v>
      </c>
      <c r="C170" s="2" t="s">
        <v>158</v>
      </c>
      <c r="D170" s="2" cm="1">
        <f t="array" ref="D17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70" s="2">
        <v>6</v>
      </c>
      <c r="F170" s="2">
        <v>2417</v>
      </c>
      <c r="G170" s="2" t="str" cm="1">
        <f t="array" ref="G17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70" s="2">
        <v>14000</v>
      </c>
      <c r="I170" s="3">
        <f>TabelaFretes[[#This Row],[Valor]]/TabelaFretes[[#This Row],[Quilometragem]]</f>
        <v>5.792304509722797</v>
      </c>
      <c r="J170" s="3">
        <f>TabelaFretes[[#This Row],[Valor]]/TabelaFretes[[#This Row],[Capacidade]]</f>
        <v>437.5</v>
      </c>
    </row>
    <row r="171" spans="1:10" x14ac:dyDescent="0.3">
      <c r="A171" s="2" t="s">
        <v>172</v>
      </c>
      <c r="B171" s="2" t="s">
        <v>183</v>
      </c>
      <c r="C171" s="2" t="s">
        <v>7</v>
      </c>
      <c r="D171" s="2" cm="1">
        <f t="array" ref="D17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71" s="2">
        <v>3</v>
      </c>
      <c r="F171" s="2">
        <v>2148</v>
      </c>
      <c r="G171" s="2" t="str" cm="1">
        <f t="array" ref="G17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71" s="2">
        <v>7700</v>
      </c>
      <c r="I171" s="3">
        <f>TabelaFretes[[#This Row],[Valor]]/TabelaFretes[[#This Row],[Quilometragem]]</f>
        <v>3.5847299813780262</v>
      </c>
      <c r="J171" s="3">
        <f>TabelaFretes[[#This Row],[Valor]]/TabelaFretes[[#This Row],[Capacidade]]</f>
        <v>550</v>
      </c>
    </row>
    <row r="172" spans="1:10" x14ac:dyDescent="0.3">
      <c r="A172" s="2" t="s">
        <v>172</v>
      </c>
      <c r="B172" s="2" t="s">
        <v>183</v>
      </c>
      <c r="C172" s="2" t="s">
        <v>6</v>
      </c>
      <c r="D172" s="2" cm="1">
        <f t="array" ref="D17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72" s="2">
        <v>5</v>
      </c>
      <c r="F172" s="2">
        <v>2148</v>
      </c>
      <c r="G172" s="2" t="str" cm="1">
        <f t="array" ref="G17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72" s="2">
        <v>14000</v>
      </c>
      <c r="I172" s="3">
        <f>TabelaFretes[[#This Row],[Valor]]/TabelaFretes[[#This Row],[Quilometragem]]</f>
        <v>6.5176908752327742</v>
      </c>
      <c r="J172" s="3">
        <f>TabelaFretes[[#This Row],[Valor]]/TabelaFretes[[#This Row],[Capacidade]]</f>
        <v>518.51851851851848</v>
      </c>
    </row>
    <row r="173" spans="1:10" x14ac:dyDescent="0.3">
      <c r="A173" s="2" t="s">
        <v>172</v>
      </c>
      <c r="B173" s="2" t="s">
        <v>183</v>
      </c>
      <c r="C173" s="2" t="s">
        <v>158</v>
      </c>
      <c r="D173" s="2" cm="1">
        <f t="array" ref="D17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73" s="2">
        <v>6</v>
      </c>
      <c r="F173" s="2">
        <v>2148</v>
      </c>
      <c r="G173" s="2" t="str" cm="1">
        <f t="array" ref="G17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73" s="2">
        <v>14000</v>
      </c>
      <c r="I173" s="3">
        <f>TabelaFretes[[#This Row],[Valor]]/TabelaFretes[[#This Row],[Quilometragem]]</f>
        <v>6.5176908752327742</v>
      </c>
      <c r="J173" s="3">
        <f>TabelaFretes[[#This Row],[Valor]]/TabelaFretes[[#This Row],[Capacidade]]</f>
        <v>437.5</v>
      </c>
    </row>
    <row r="174" spans="1:10" x14ac:dyDescent="0.3">
      <c r="A174" s="2" t="s">
        <v>172</v>
      </c>
      <c r="B174" s="2" t="s">
        <v>184</v>
      </c>
      <c r="C174" s="2" t="s">
        <v>7</v>
      </c>
      <c r="D174" s="2" cm="1">
        <f t="array" ref="D17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74" s="2">
        <v>3</v>
      </c>
      <c r="F174" s="2">
        <v>2206</v>
      </c>
      <c r="G174" s="2" t="str" cm="1">
        <f t="array" ref="G17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74" s="2">
        <v>7700</v>
      </c>
      <c r="I174" s="3">
        <f>TabelaFretes[[#This Row],[Valor]]/TabelaFretes[[#This Row],[Quilometragem]]</f>
        <v>3.4904805077062555</v>
      </c>
      <c r="J174" s="3">
        <f>TabelaFretes[[#This Row],[Valor]]/TabelaFretes[[#This Row],[Capacidade]]</f>
        <v>550</v>
      </c>
    </row>
    <row r="175" spans="1:10" x14ac:dyDescent="0.3">
      <c r="A175" s="2" t="s">
        <v>172</v>
      </c>
      <c r="B175" s="2" t="s">
        <v>184</v>
      </c>
      <c r="C175" s="2" t="s">
        <v>6</v>
      </c>
      <c r="D175" s="2" cm="1">
        <f t="array" ref="D17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75" s="2">
        <v>5</v>
      </c>
      <c r="F175" s="2">
        <v>2206</v>
      </c>
      <c r="G175" s="2" t="str" cm="1">
        <f t="array" ref="G17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75" s="2">
        <v>14000</v>
      </c>
      <c r="I175" s="3">
        <f>TabelaFretes[[#This Row],[Valor]]/TabelaFretes[[#This Row],[Quilometragem]]</f>
        <v>6.3463281958295559</v>
      </c>
      <c r="J175" s="3">
        <f>TabelaFretes[[#This Row],[Valor]]/TabelaFretes[[#This Row],[Capacidade]]</f>
        <v>518.51851851851848</v>
      </c>
    </row>
    <row r="176" spans="1:10" x14ac:dyDescent="0.3">
      <c r="A176" s="2" t="s">
        <v>172</v>
      </c>
      <c r="B176" s="2" t="s">
        <v>184</v>
      </c>
      <c r="C176" s="2" t="s">
        <v>158</v>
      </c>
      <c r="D176" s="2" cm="1">
        <f t="array" ref="D17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76" s="2">
        <v>6</v>
      </c>
      <c r="F176" s="2">
        <v>2206</v>
      </c>
      <c r="G176" s="2" t="str" cm="1">
        <f t="array" ref="G17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76" s="2">
        <v>14000</v>
      </c>
      <c r="I176" s="3">
        <f>TabelaFretes[[#This Row],[Valor]]/TabelaFretes[[#This Row],[Quilometragem]]</f>
        <v>6.3463281958295559</v>
      </c>
      <c r="J176" s="3">
        <f>TabelaFretes[[#This Row],[Valor]]/TabelaFretes[[#This Row],[Capacidade]]</f>
        <v>437.5</v>
      </c>
    </row>
    <row r="177" spans="1:10" x14ac:dyDescent="0.3">
      <c r="A177" s="2" t="s">
        <v>172</v>
      </c>
      <c r="B177" s="2" t="s">
        <v>185</v>
      </c>
      <c r="C177" s="2" t="s">
        <v>7</v>
      </c>
      <c r="D177" s="2" cm="1">
        <f t="array" ref="D17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77" s="2">
        <v>3</v>
      </c>
      <c r="F177" s="2">
        <v>1539</v>
      </c>
      <c r="G177" s="2" t="str" cm="1">
        <f t="array" ref="G17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77" s="2">
        <v>7700</v>
      </c>
      <c r="I177" s="3">
        <f>TabelaFretes[[#This Row],[Valor]]/TabelaFretes[[#This Row],[Quilometragem]]</f>
        <v>5.0032488628979861</v>
      </c>
      <c r="J177" s="3">
        <f>TabelaFretes[[#This Row],[Valor]]/TabelaFretes[[#This Row],[Capacidade]]</f>
        <v>550</v>
      </c>
    </row>
    <row r="178" spans="1:10" x14ac:dyDescent="0.3">
      <c r="A178" s="2" t="s">
        <v>172</v>
      </c>
      <c r="B178" s="2" t="s">
        <v>185</v>
      </c>
      <c r="C178" s="2" t="s">
        <v>6</v>
      </c>
      <c r="D178" s="2" cm="1">
        <f t="array" ref="D17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78" s="2">
        <v>5</v>
      </c>
      <c r="F178" s="2">
        <v>1539</v>
      </c>
      <c r="G178" s="2" t="str" cm="1">
        <f t="array" ref="G17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78" s="2">
        <v>14000</v>
      </c>
      <c r="I178" s="3">
        <f>TabelaFretes[[#This Row],[Valor]]/TabelaFretes[[#This Row],[Quilometragem]]</f>
        <v>9.0968161143599744</v>
      </c>
      <c r="J178" s="3">
        <f>TabelaFretes[[#This Row],[Valor]]/TabelaFretes[[#This Row],[Capacidade]]</f>
        <v>518.51851851851848</v>
      </c>
    </row>
    <row r="179" spans="1:10" x14ac:dyDescent="0.3">
      <c r="A179" s="2" t="s">
        <v>172</v>
      </c>
      <c r="B179" s="2" t="s">
        <v>185</v>
      </c>
      <c r="C179" s="2" t="s">
        <v>158</v>
      </c>
      <c r="D179" s="2" cm="1">
        <f t="array" ref="D17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79" s="2">
        <v>6</v>
      </c>
      <c r="F179" s="2">
        <v>1539</v>
      </c>
      <c r="G179" s="2" t="str" cm="1">
        <f t="array" ref="G17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79" s="2">
        <v>14000</v>
      </c>
      <c r="I179" s="3">
        <f>TabelaFretes[[#This Row],[Valor]]/TabelaFretes[[#This Row],[Quilometragem]]</f>
        <v>9.0968161143599744</v>
      </c>
      <c r="J179" s="3">
        <f>TabelaFretes[[#This Row],[Valor]]/TabelaFretes[[#This Row],[Capacidade]]</f>
        <v>437.5</v>
      </c>
    </row>
    <row r="180" spans="1:10" x14ac:dyDescent="0.3">
      <c r="A180" s="2" t="s">
        <v>172</v>
      </c>
      <c r="B180" s="2" t="s">
        <v>186</v>
      </c>
      <c r="C180" s="2" t="s">
        <v>7</v>
      </c>
      <c r="D180" s="2" cm="1">
        <f t="array" ref="D18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80" s="2">
        <v>3</v>
      </c>
      <c r="F180" s="2">
        <v>2038</v>
      </c>
      <c r="G180" s="2" t="str" cm="1">
        <f t="array" ref="G18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80" s="2">
        <v>7700</v>
      </c>
      <c r="I180" s="3">
        <f>TabelaFretes[[#This Row],[Valor]]/TabelaFretes[[#This Row],[Quilometragem]]</f>
        <v>3.7782139352306183</v>
      </c>
      <c r="J180" s="3">
        <f>TabelaFretes[[#This Row],[Valor]]/TabelaFretes[[#This Row],[Capacidade]]</f>
        <v>550</v>
      </c>
    </row>
    <row r="181" spans="1:10" x14ac:dyDescent="0.3">
      <c r="A181" s="2" t="s">
        <v>172</v>
      </c>
      <c r="B181" s="2" t="s">
        <v>186</v>
      </c>
      <c r="C181" s="2" t="s">
        <v>6</v>
      </c>
      <c r="D181" s="2" cm="1">
        <f t="array" ref="D18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81" s="2">
        <v>5</v>
      </c>
      <c r="F181" s="2">
        <v>2038</v>
      </c>
      <c r="G181" s="2" t="str" cm="1">
        <f t="array" ref="G18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81" s="2">
        <v>14000</v>
      </c>
      <c r="I181" s="3">
        <f>TabelaFretes[[#This Row],[Valor]]/TabelaFretes[[#This Row],[Quilometragem]]</f>
        <v>6.8694798822374876</v>
      </c>
      <c r="J181" s="3">
        <f>TabelaFretes[[#This Row],[Valor]]/TabelaFretes[[#This Row],[Capacidade]]</f>
        <v>518.51851851851848</v>
      </c>
    </row>
    <row r="182" spans="1:10" x14ac:dyDescent="0.3">
      <c r="A182" s="2" t="s">
        <v>172</v>
      </c>
      <c r="B182" s="2" t="s">
        <v>186</v>
      </c>
      <c r="C182" s="2" t="s">
        <v>158</v>
      </c>
      <c r="D182" s="2" cm="1">
        <f t="array" ref="D18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82" s="2">
        <v>6</v>
      </c>
      <c r="F182" s="2">
        <v>2038</v>
      </c>
      <c r="G182" s="2" t="str" cm="1">
        <f t="array" ref="G18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82" s="2">
        <v>14000</v>
      </c>
      <c r="I182" s="3">
        <f>TabelaFretes[[#This Row],[Valor]]/TabelaFretes[[#This Row],[Quilometragem]]</f>
        <v>6.8694798822374876</v>
      </c>
      <c r="J182" s="3">
        <f>TabelaFretes[[#This Row],[Valor]]/TabelaFretes[[#This Row],[Capacidade]]</f>
        <v>437.5</v>
      </c>
    </row>
    <row r="183" spans="1:10" x14ac:dyDescent="0.3">
      <c r="A183" s="2" t="s">
        <v>172</v>
      </c>
      <c r="B183" s="2" t="s">
        <v>187</v>
      </c>
      <c r="C183" s="2" t="s">
        <v>7</v>
      </c>
      <c r="D183" s="2" cm="1">
        <f t="array" ref="D18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83" s="2">
        <v>3</v>
      </c>
      <c r="F183" s="2">
        <v>2159</v>
      </c>
      <c r="G183" s="2" t="str" cm="1">
        <f t="array" ref="G18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83" s="2">
        <v>7700</v>
      </c>
      <c r="I183" s="3">
        <f>TabelaFretes[[#This Row],[Valor]]/TabelaFretes[[#This Row],[Quilometragem]]</f>
        <v>3.5664659564613248</v>
      </c>
      <c r="J183" s="3">
        <f>TabelaFretes[[#This Row],[Valor]]/TabelaFretes[[#This Row],[Capacidade]]</f>
        <v>550</v>
      </c>
    </row>
    <row r="184" spans="1:10" x14ac:dyDescent="0.3">
      <c r="A184" s="2" t="s">
        <v>172</v>
      </c>
      <c r="B184" s="2" t="s">
        <v>187</v>
      </c>
      <c r="C184" s="2" t="s">
        <v>9</v>
      </c>
      <c r="D184" s="2" cm="1">
        <f t="array" ref="D18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84" s="2">
        <v>4</v>
      </c>
      <c r="F184" s="2">
        <v>2159</v>
      </c>
      <c r="G184" s="2" t="str" cm="1">
        <f t="array" ref="G18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84" s="2">
        <v>9900</v>
      </c>
      <c r="I184" s="3">
        <f>TabelaFretes[[#This Row],[Valor]]/TabelaFretes[[#This Row],[Quilometragem]]</f>
        <v>4.5854562297359891</v>
      </c>
      <c r="J184" s="3">
        <f>TabelaFretes[[#This Row],[Valor]]/TabelaFretes[[#This Row],[Capacidade]]</f>
        <v>521.0526315789474</v>
      </c>
    </row>
    <row r="185" spans="1:10" x14ac:dyDescent="0.3">
      <c r="A185" s="2" t="s">
        <v>172</v>
      </c>
      <c r="B185" s="2" t="s">
        <v>187</v>
      </c>
      <c r="C185" s="2" t="s">
        <v>6</v>
      </c>
      <c r="D185" s="2" cm="1">
        <f t="array" ref="D18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85" s="2">
        <v>5</v>
      </c>
      <c r="F185" s="2">
        <v>2159</v>
      </c>
      <c r="G185" s="2" t="str" cm="1">
        <f t="array" ref="G18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85" s="2">
        <v>14000</v>
      </c>
      <c r="I185" s="3">
        <f>TabelaFretes[[#This Row],[Valor]]/TabelaFretes[[#This Row],[Quilometragem]]</f>
        <v>6.4844835572024087</v>
      </c>
      <c r="J185" s="3">
        <f>TabelaFretes[[#This Row],[Valor]]/TabelaFretes[[#This Row],[Capacidade]]</f>
        <v>518.51851851851848</v>
      </c>
    </row>
    <row r="186" spans="1:10" x14ac:dyDescent="0.3">
      <c r="A186" s="2" t="s">
        <v>172</v>
      </c>
      <c r="B186" s="2" t="s">
        <v>187</v>
      </c>
      <c r="C186" s="2" t="s">
        <v>158</v>
      </c>
      <c r="D186" s="2" cm="1">
        <f t="array" ref="D18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86" s="2">
        <v>6</v>
      </c>
      <c r="F186" s="2">
        <v>2159</v>
      </c>
      <c r="G186" s="2" t="str" cm="1">
        <f t="array" ref="G18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86" s="2">
        <v>14000</v>
      </c>
      <c r="I186" s="3">
        <f>TabelaFretes[[#This Row],[Valor]]/TabelaFretes[[#This Row],[Quilometragem]]</f>
        <v>6.4844835572024087</v>
      </c>
      <c r="J186" s="3">
        <f>TabelaFretes[[#This Row],[Valor]]/TabelaFretes[[#This Row],[Capacidade]]</f>
        <v>437.5</v>
      </c>
    </row>
    <row r="187" spans="1:10" x14ac:dyDescent="0.3">
      <c r="A187" s="2" t="s">
        <v>172</v>
      </c>
      <c r="B187" s="2" t="s">
        <v>188</v>
      </c>
      <c r="C187" s="2" t="s">
        <v>7</v>
      </c>
      <c r="D187" s="2" cm="1">
        <f t="array" ref="D18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87" s="2">
        <v>3</v>
      </c>
      <c r="F187" s="2">
        <v>1671</v>
      </c>
      <c r="G187" s="2" t="str" cm="1">
        <f t="array" ref="G18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87" s="2">
        <v>7700</v>
      </c>
      <c r="I187" s="3">
        <f>TabelaFretes[[#This Row],[Valor]]/TabelaFretes[[#This Row],[Quilometragem]]</f>
        <v>4.6080191502094552</v>
      </c>
      <c r="J187" s="3">
        <f>TabelaFretes[[#This Row],[Valor]]/TabelaFretes[[#This Row],[Capacidade]]</f>
        <v>550</v>
      </c>
    </row>
    <row r="188" spans="1:10" x14ac:dyDescent="0.3">
      <c r="A188" s="2" t="s">
        <v>172</v>
      </c>
      <c r="B188" s="2" t="s">
        <v>188</v>
      </c>
      <c r="C188" s="2" t="s">
        <v>9</v>
      </c>
      <c r="D188" s="2" cm="1">
        <f t="array" ref="D18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88" s="2">
        <v>4</v>
      </c>
      <c r="F188" s="2">
        <v>1671</v>
      </c>
      <c r="G188" s="2" t="str" cm="1">
        <f t="array" ref="G18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88" s="2">
        <v>10450</v>
      </c>
      <c r="I188" s="3">
        <f>TabelaFretes[[#This Row],[Valor]]/TabelaFretes[[#This Row],[Quilometragem]]</f>
        <v>6.2537402752842608</v>
      </c>
      <c r="J188" s="3">
        <f>TabelaFretes[[#This Row],[Valor]]/TabelaFretes[[#This Row],[Capacidade]]</f>
        <v>550</v>
      </c>
    </row>
    <row r="189" spans="1:10" x14ac:dyDescent="0.3">
      <c r="A189" s="2" t="s">
        <v>172</v>
      </c>
      <c r="B189" s="2" t="s">
        <v>188</v>
      </c>
      <c r="C189" s="2" t="s">
        <v>6</v>
      </c>
      <c r="D189" s="2" cm="1">
        <f t="array" ref="D18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89" s="2">
        <v>5</v>
      </c>
      <c r="F189" s="2">
        <v>1671</v>
      </c>
      <c r="G189" s="2" t="str" cm="1">
        <f t="array" ref="G18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89" s="2">
        <v>14000</v>
      </c>
      <c r="I189" s="3">
        <f>TabelaFretes[[#This Row],[Valor]]/TabelaFretes[[#This Row],[Quilometragem]]</f>
        <v>8.3782166367444653</v>
      </c>
      <c r="J189" s="3">
        <f>TabelaFretes[[#This Row],[Valor]]/TabelaFretes[[#This Row],[Capacidade]]</f>
        <v>518.51851851851848</v>
      </c>
    </row>
    <row r="190" spans="1:10" x14ac:dyDescent="0.3">
      <c r="A190" s="2" t="s">
        <v>172</v>
      </c>
      <c r="B190" s="2" t="s">
        <v>188</v>
      </c>
      <c r="C190" s="2" t="s">
        <v>158</v>
      </c>
      <c r="D190" s="2" cm="1">
        <f t="array" ref="D19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90" s="2">
        <v>6</v>
      </c>
      <c r="F190" s="2">
        <v>1671</v>
      </c>
      <c r="G190" s="2" t="str" cm="1">
        <f t="array" ref="G19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190" s="2">
        <v>14000</v>
      </c>
      <c r="I190" s="3">
        <f>TabelaFretes[[#This Row],[Valor]]/TabelaFretes[[#This Row],[Quilometragem]]</f>
        <v>8.3782166367444653</v>
      </c>
      <c r="J190" s="3">
        <f>TabelaFretes[[#This Row],[Valor]]/TabelaFretes[[#This Row],[Capacidade]]</f>
        <v>437.5</v>
      </c>
    </row>
    <row r="191" spans="1:10" x14ac:dyDescent="0.3">
      <c r="A191" s="2" t="s">
        <v>172</v>
      </c>
      <c r="B191" s="2" t="s">
        <v>189</v>
      </c>
      <c r="C191" s="2" t="s">
        <v>7</v>
      </c>
      <c r="D191" s="2" cm="1">
        <f t="array" ref="D19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91" s="2">
        <v>3</v>
      </c>
      <c r="F191" s="2">
        <v>2142</v>
      </c>
      <c r="G191" s="2" t="str" cm="1">
        <f t="array" ref="G19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91" s="2">
        <v>7700</v>
      </c>
      <c r="I191" s="3">
        <f>TabelaFretes[[#This Row],[Valor]]/TabelaFretes[[#This Row],[Quilometragem]]</f>
        <v>3.5947712418300655</v>
      </c>
      <c r="J191" s="3">
        <f>TabelaFretes[[#This Row],[Valor]]/TabelaFretes[[#This Row],[Capacidade]]</f>
        <v>550</v>
      </c>
    </row>
    <row r="192" spans="1:10" x14ac:dyDescent="0.3">
      <c r="A192" s="2" t="s">
        <v>172</v>
      </c>
      <c r="B192" s="2" t="s">
        <v>189</v>
      </c>
      <c r="C192" s="2" t="s">
        <v>9</v>
      </c>
      <c r="D192" s="2" cm="1">
        <f t="array" ref="D19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92" s="2">
        <v>4</v>
      </c>
      <c r="F192" s="2">
        <v>2142</v>
      </c>
      <c r="G192" s="2" t="str" cm="1">
        <f t="array" ref="G19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92" s="2">
        <v>10450</v>
      </c>
      <c r="I192" s="3">
        <f>TabelaFretes[[#This Row],[Valor]]/TabelaFretes[[#This Row],[Quilometragem]]</f>
        <v>4.878618113912232</v>
      </c>
      <c r="J192" s="3">
        <f>TabelaFretes[[#This Row],[Valor]]/TabelaFretes[[#This Row],[Capacidade]]</f>
        <v>550</v>
      </c>
    </row>
    <row r="193" spans="1:10" x14ac:dyDescent="0.3">
      <c r="A193" s="2" t="s">
        <v>172</v>
      </c>
      <c r="B193" s="2" t="s">
        <v>189</v>
      </c>
      <c r="C193" s="2" t="s">
        <v>6</v>
      </c>
      <c r="D193" s="2" cm="1">
        <f t="array" ref="D19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93" s="2">
        <v>5</v>
      </c>
      <c r="F193" s="2">
        <v>2142</v>
      </c>
      <c r="G193" s="2" t="str" cm="1">
        <f t="array" ref="G19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93" s="2">
        <v>14000</v>
      </c>
      <c r="I193" s="3">
        <f>TabelaFretes[[#This Row],[Valor]]/TabelaFretes[[#This Row],[Quilometragem]]</f>
        <v>6.5359477124183005</v>
      </c>
      <c r="J193" s="3">
        <f>TabelaFretes[[#This Row],[Valor]]/TabelaFretes[[#This Row],[Capacidade]]</f>
        <v>518.51851851851848</v>
      </c>
    </row>
    <row r="194" spans="1:10" x14ac:dyDescent="0.3">
      <c r="A194" s="2" t="s">
        <v>172</v>
      </c>
      <c r="B194" s="2" t="s">
        <v>189</v>
      </c>
      <c r="C194" s="2" t="s">
        <v>158</v>
      </c>
      <c r="D194" s="2" cm="1">
        <f t="array" ref="D19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94" s="2">
        <v>6</v>
      </c>
      <c r="F194" s="2">
        <v>2142</v>
      </c>
      <c r="G194" s="2" t="str" cm="1">
        <f t="array" ref="G19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94" s="2">
        <v>14000</v>
      </c>
      <c r="I194" s="3">
        <f>TabelaFretes[[#This Row],[Valor]]/TabelaFretes[[#This Row],[Quilometragem]]</f>
        <v>6.5359477124183005</v>
      </c>
      <c r="J194" s="3">
        <f>TabelaFretes[[#This Row],[Valor]]/TabelaFretes[[#This Row],[Capacidade]]</f>
        <v>437.5</v>
      </c>
    </row>
    <row r="195" spans="1:10" x14ac:dyDescent="0.3">
      <c r="A195" s="2" t="s">
        <v>172</v>
      </c>
      <c r="B195" s="2" t="s">
        <v>190</v>
      </c>
      <c r="C195" s="2" t="s">
        <v>7</v>
      </c>
      <c r="D195" s="2" cm="1">
        <f t="array" ref="D19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95" s="2">
        <v>3</v>
      </c>
      <c r="F195" s="2">
        <v>2415</v>
      </c>
      <c r="G195" s="2" t="str" cm="1">
        <f t="array" ref="G19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95" s="2">
        <v>7700</v>
      </c>
      <c r="I195" s="3">
        <f>TabelaFretes[[#This Row],[Valor]]/TabelaFretes[[#This Row],[Quilometragem]]</f>
        <v>3.1884057971014492</v>
      </c>
      <c r="J195" s="3">
        <f>TabelaFretes[[#This Row],[Valor]]/TabelaFretes[[#This Row],[Capacidade]]</f>
        <v>550</v>
      </c>
    </row>
    <row r="196" spans="1:10" x14ac:dyDescent="0.3">
      <c r="A196" s="2" t="s">
        <v>172</v>
      </c>
      <c r="B196" s="2" t="s">
        <v>190</v>
      </c>
      <c r="C196" s="2" t="s">
        <v>9</v>
      </c>
      <c r="D196" s="2" cm="1">
        <f t="array" ref="D19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196" s="2">
        <v>4</v>
      </c>
      <c r="F196" s="2">
        <v>2415</v>
      </c>
      <c r="G196" s="2" t="str" cm="1">
        <f t="array" ref="G19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96" s="2">
        <v>10450</v>
      </c>
      <c r="I196" s="3">
        <f>TabelaFretes[[#This Row],[Valor]]/TabelaFretes[[#This Row],[Quilometragem]]</f>
        <v>4.3271221532091095</v>
      </c>
      <c r="J196" s="3">
        <f>TabelaFretes[[#This Row],[Valor]]/TabelaFretes[[#This Row],[Capacidade]]</f>
        <v>550</v>
      </c>
    </row>
    <row r="197" spans="1:10" x14ac:dyDescent="0.3">
      <c r="A197" s="2" t="s">
        <v>172</v>
      </c>
      <c r="B197" s="2" t="s">
        <v>190</v>
      </c>
      <c r="C197" s="2" t="s">
        <v>6</v>
      </c>
      <c r="D197" s="2" cm="1">
        <f t="array" ref="D19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197" s="2">
        <v>5</v>
      </c>
      <c r="F197" s="2">
        <v>2415</v>
      </c>
      <c r="G197" s="2" t="str" cm="1">
        <f t="array" ref="G19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97" s="2">
        <v>14000</v>
      </c>
      <c r="I197" s="3">
        <f>TabelaFretes[[#This Row],[Valor]]/TabelaFretes[[#This Row],[Quilometragem]]</f>
        <v>5.7971014492753623</v>
      </c>
      <c r="J197" s="3">
        <f>TabelaFretes[[#This Row],[Valor]]/TabelaFretes[[#This Row],[Capacidade]]</f>
        <v>518.51851851851848</v>
      </c>
    </row>
    <row r="198" spans="1:10" x14ac:dyDescent="0.3">
      <c r="A198" s="2" t="s">
        <v>172</v>
      </c>
      <c r="B198" s="2" t="s">
        <v>190</v>
      </c>
      <c r="C198" s="2" t="s">
        <v>158</v>
      </c>
      <c r="D198" s="2" cm="1">
        <f t="array" ref="D19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198" s="2">
        <v>6</v>
      </c>
      <c r="F198" s="2">
        <v>2415</v>
      </c>
      <c r="G198" s="2" t="str" cm="1">
        <f t="array" ref="G19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98" s="2">
        <v>14000</v>
      </c>
      <c r="I198" s="3">
        <f>TabelaFretes[[#This Row],[Valor]]/TabelaFretes[[#This Row],[Quilometragem]]</f>
        <v>5.7971014492753623</v>
      </c>
      <c r="J198" s="3">
        <f>TabelaFretes[[#This Row],[Valor]]/TabelaFretes[[#This Row],[Capacidade]]</f>
        <v>437.5</v>
      </c>
    </row>
    <row r="199" spans="1:10" x14ac:dyDescent="0.3">
      <c r="A199" s="2" t="s">
        <v>172</v>
      </c>
      <c r="B199" s="2" t="s">
        <v>191</v>
      </c>
      <c r="C199" s="2" t="s">
        <v>7</v>
      </c>
      <c r="D199" s="2" cm="1">
        <f t="array" ref="D19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199" s="2">
        <v>3</v>
      </c>
      <c r="F199" s="2">
        <v>2257</v>
      </c>
      <c r="G199" s="2" t="str" cm="1">
        <f t="array" ref="G19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199" s="2">
        <v>7700</v>
      </c>
      <c r="I199" s="3">
        <f>TabelaFretes[[#This Row],[Valor]]/TabelaFretes[[#This Row],[Quilometragem]]</f>
        <v>3.4116083296411164</v>
      </c>
      <c r="J199" s="3">
        <f>TabelaFretes[[#This Row],[Valor]]/TabelaFretes[[#This Row],[Capacidade]]</f>
        <v>550</v>
      </c>
    </row>
    <row r="200" spans="1:10" x14ac:dyDescent="0.3">
      <c r="A200" s="2" t="s">
        <v>172</v>
      </c>
      <c r="B200" s="2" t="s">
        <v>191</v>
      </c>
      <c r="C200" s="2" t="s">
        <v>6</v>
      </c>
      <c r="D200" s="2" cm="1">
        <f t="array" ref="D20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00" s="2">
        <v>5</v>
      </c>
      <c r="F200" s="2">
        <v>2257</v>
      </c>
      <c r="G200" s="2" t="str" cm="1">
        <f t="array" ref="G20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00" s="2">
        <v>14000</v>
      </c>
      <c r="I200" s="3">
        <f>TabelaFretes[[#This Row],[Valor]]/TabelaFretes[[#This Row],[Quilometragem]]</f>
        <v>6.2029242357111212</v>
      </c>
      <c r="J200" s="3">
        <f>TabelaFretes[[#This Row],[Valor]]/TabelaFretes[[#This Row],[Capacidade]]</f>
        <v>518.51851851851848</v>
      </c>
    </row>
    <row r="201" spans="1:10" x14ac:dyDescent="0.3">
      <c r="A201" s="2" t="s">
        <v>172</v>
      </c>
      <c r="B201" s="2" t="s">
        <v>191</v>
      </c>
      <c r="C201" s="2" t="s">
        <v>158</v>
      </c>
      <c r="D201" s="2" cm="1">
        <f t="array" ref="D20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01" s="2">
        <v>6</v>
      </c>
      <c r="F201" s="2">
        <v>2257</v>
      </c>
      <c r="G201" s="2" t="str" cm="1">
        <f t="array" ref="G20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01" s="2">
        <v>14000</v>
      </c>
      <c r="I201" s="3">
        <f>TabelaFretes[[#This Row],[Valor]]/TabelaFretes[[#This Row],[Quilometragem]]</f>
        <v>6.2029242357111212</v>
      </c>
      <c r="J201" s="3">
        <f>TabelaFretes[[#This Row],[Valor]]/TabelaFretes[[#This Row],[Capacidade]]</f>
        <v>437.5</v>
      </c>
    </row>
    <row r="202" spans="1:10" x14ac:dyDescent="0.3">
      <c r="A202" s="2" t="s">
        <v>172</v>
      </c>
      <c r="B202" s="2" t="s">
        <v>192</v>
      </c>
      <c r="C202" s="2" t="s">
        <v>7</v>
      </c>
      <c r="D202" s="2" cm="1">
        <f t="array" ref="D20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02" s="2">
        <v>3</v>
      </c>
      <c r="F202" s="2">
        <v>2516</v>
      </c>
      <c r="G202" s="2" t="str" cm="1">
        <f t="array" ref="G20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02" s="2">
        <v>7700</v>
      </c>
      <c r="I202" s="3">
        <f>TabelaFretes[[#This Row],[Valor]]/TabelaFretes[[#This Row],[Quilometragem]]</f>
        <v>3.0604133545310015</v>
      </c>
      <c r="J202" s="3">
        <f>TabelaFretes[[#This Row],[Valor]]/TabelaFretes[[#This Row],[Capacidade]]</f>
        <v>550</v>
      </c>
    </row>
    <row r="203" spans="1:10" x14ac:dyDescent="0.3">
      <c r="A203" s="2" t="s">
        <v>172</v>
      </c>
      <c r="B203" s="2" t="s">
        <v>192</v>
      </c>
      <c r="C203" s="2" t="s">
        <v>6</v>
      </c>
      <c r="D203" s="2" cm="1">
        <f t="array" ref="D20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03" s="2">
        <v>5</v>
      </c>
      <c r="F203" s="2">
        <v>2516</v>
      </c>
      <c r="G203" s="2" t="str" cm="1">
        <f t="array" ref="G20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03" s="2">
        <v>14000</v>
      </c>
      <c r="I203" s="3">
        <f>TabelaFretes[[#This Row],[Valor]]/TabelaFretes[[#This Row],[Quilometragem]]</f>
        <v>5.5643879173290935</v>
      </c>
      <c r="J203" s="3">
        <f>TabelaFretes[[#This Row],[Valor]]/TabelaFretes[[#This Row],[Capacidade]]</f>
        <v>518.51851851851848</v>
      </c>
    </row>
    <row r="204" spans="1:10" x14ac:dyDescent="0.3">
      <c r="A204" s="2" t="s">
        <v>172</v>
      </c>
      <c r="B204" s="2" t="s">
        <v>192</v>
      </c>
      <c r="C204" s="2" t="s">
        <v>158</v>
      </c>
      <c r="D204" s="2" cm="1">
        <f t="array" ref="D20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04" s="2">
        <v>6</v>
      </c>
      <c r="F204" s="2">
        <v>2516</v>
      </c>
      <c r="G204" s="2" t="str" cm="1">
        <f t="array" ref="G20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04" s="2">
        <v>14000</v>
      </c>
      <c r="I204" s="3">
        <f>TabelaFretes[[#This Row],[Valor]]/TabelaFretes[[#This Row],[Quilometragem]]</f>
        <v>5.5643879173290935</v>
      </c>
      <c r="J204" s="3">
        <f>TabelaFretes[[#This Row],[Valor]]/TabelaFretes[[#This Row],[Capacidade]]</f>
        <v>437.5</v>
      </c>
    </row>
    <row r="205" spans="1:10" x14ac:dyDescent="0.3">
      <c r="A205" s="2" t="s">
        <v>172</v>
      </c>
      <c r="B205" s="2" t="s">
        <v>193</v>
      </c>
      <c r="C205" s="2" t="s">
        <v>7</v>
      </c>
      <c r="D205" s="2" cm="1">
        <f t="array" ref="D20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05" s="2">
        <v>3</v>
      </c>
      <c r="F205" s="2">
        <v>2066</v>
      </c>
      <c r="G205" s="2" t="str" cm="1">
        <f t="array" ref="G20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05" s="2">
        <v>7700</v>
      </c>
      <c r="I205" s="3">
        <f>TabelaFretes[[#This Row],[Valor]]/TabelaFretes[[#This Row],[Quilometragem]]</f>
        <v>3.7270087124878994</v>
      </c>
      <c r="J205" s="3">
        <f>TabelaFretes[[#This Row],[Valor]]/TabelaFretes[[#This Row],[Capacidade]]</f>
        <v>550</v>
      </c>
    </row>
    <row r="206" spans="1:10" x14ac:dyDescent="0.3">
      <c r="A206" s="2" t="s">
        <v>172</v>
      </c>
      <c r="B206" s="2" t="s">
        <v>193</v>
      </c>
      <c r="C206" s="2" t="s">
        <v>6</v>
      </c>
      <c r="D206" s="2" cm="1">
        <f t="array" ref="D20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06" s="2">
        <v>5</v>
      </c>
      <c r="F206" s="2">
        <v>2066</v>
      </c>
      <c r="G206" s="2" t="str" cm="1">
        <f t="array" ref="G20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06" s="2">
        <v>14000</v>
      </c>
      <c r="I206" s="3">
        <f>TabelaFretes[[#This Row],[Valor]]/TabelaFretes[[#This Row],[Quilometragem]]</f>
        <v>6.7763794772507264</v>
      </c>
      <c r="J206" s="3">
        <f>TabelaFretes[[#This Row],[Valor]]/TabelaFretes[[#This Row],[Capacidade]]</f>
        <v>518.51851851851848</v>
      </c>
    </row>
    <row r="207" spans="1:10" x14ac:dyDescent="0.3">
      <c r="A207" s="2" t="s">
        <v>172</v>
      </c>
      <c r="B207" s="2" t="s">
        <v>193</v>
      </c>
      <c r="C207" s="2" t="s">
        <v>158</v>
      </c>
      <c r="D207" s="2" cm="1">
        <f t="array" ref="D20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07" s="2">
        <v>6</v>
      </c>
      <c r="F207" s="2">
        <v>2066</v>
      </c>
      <c r="G207" s="2" t="str" cm="1">
        <f t="array" ref="G20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07" s="2">
        <v>14000</v>
      </c>
      <c r="I207" s="3">
        <f>TabelaFretes[[#This Row],[Valor]]/TabelaFretes[[#This Row],[Quilometragem]]</f>
        <v>6.7763794772507264</v>
      </c>
      <c r="J207" s="3">
        <f>TabelaFretes[[#This Row],[Valor]]/TabelaFretes[[#This Row],[Capacidade]]</f>
        <v>437.5</v>
      </c>
    </row>
    <row r="208" spans="1:10" x14ac:dyDescent="0.3">
      <c r="A208" s="2" t="s">
        <v>172</v>
      </c>
      <c r="B208" s="2" t="s">
        <v>194</v>
      </c>
      <c r="C208" s="2" t="s">
        <v>7</v>
      </c>
      <c r="D208" s="2" cm="1">
        <f t="array" ref="D20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08" s="2">
        <v>3</v>
      </c>
      <c r="F208" s="2">
        <v>1798</v>
      </c>
      <c r="G208" s="2" t="str" cm="1">
        <f t="array" ref="G20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08" s="2">
        <v>7700</v>
      </c>
      <c r="I208" s="3">
        <f>TabelaFretes[[#This Row],[Valor]]/TabelaFretes[[#This Row],[Quilometragem]]</f>
        <v>4.2825361512791993</v>
      </c>
      <c r="J208" s="3">
        <f>TabelaFretes[[#This Row],[Valor]]/TabelaFretes[[#This Row],[Capacidade]]</f>
        <v>550</v>
      </c>
    </row>
    <row r="209" spans="1:10" x14ac:dyDescent="0.3">
      <c r="A209" s="2" t="s">
        <v>172</v>
      </c>
      <c r="B209" s="2" t="s">
        <v>194</v>
      </c>
      <c r="C209" s="2" t="s">
        <v>9</v>
      </c>
      <c r="D209" s="2" cm="1">
        <f t="array" ref="D20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09" s="2">
        <v>4</v>
      </c>
      <c r="F209" s="2">
        <v>1798</v>
      </c>
      <c r="G209" s="2" t="str" cm="1">
        <f t="array" ref="G20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09" s="2">
        <v>10450</v>
      </c>
      <c r="I209" s="3">
        <f>TabelaFretes[[#This Row],[Valor]]/TabelaFretes[[#This Row],[Quilometragem]]</f>
        <v>5.8120133481646272</v>
      </c>
      <c r="J209" s="3">
        <f>TabelaFretes[[#This Row],[Valor]]/TabelaFretes[[#This Row],[Capacidade]]</f>
        <v>550</v>
      </c>
    </row>
    <row r="210" spans="1:10" x14ac:dyDescent="0.3">
      <c r="A210" s="2" t="s">
        <v>172</v>
      </c>
      <c r="B210" s="2" t="s">
        <v>194</v>
      </c>
      <c r="C210" s="2" t="s">
        <v>6</v>
      </c>
      <c r="D210" s="2" cm="1">
        <f t="array" ref="D21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10" s="2">
        <v>5</v>
      </c>
      <c r="F210" s="2">
        <v>1798</v>
      </c>
      <c r="G210" s="2" t="str" cm="1">
        <f t="array" ref="G21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10" s="2">
        <v>14000</v>
      </c>
      <c r="I210" s="3">
        <f>TabelaFretes[[#This Row],[Valor]]/TabelaFretes[[#This Row],[Quilometragem]]</f>
        <v>7.7864293659621806</v>
      </c>
      <c r="J210" s="3">
        <f>TabelaFretes[[#This Row],[Valor]]/TabelaFretes[[#This Row],[Capacidade]]</f>
        <v>518.51851851851848</v>
      </c>
    </row>
    <row r="211" spans="1:10" x14ac:dyDescent="0.3">
      <c r="A211" s="2" t="s">
        <v>172</v>
      </c>
      <c r="B211" s="2" t="s">
        <v>194</v>
      </c>
      <c r="C211" s="2" t="s">
        <v>158</v>
      </c>
      <c r="D211" s="2" cm="1">
        <f t="array" ref="D21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11" s="2">
        <v>6</v>
      </c>
      <c r="F211" s="2">
        <v>1798</v>
      </c>
      <c r="G211" s="2" t="str" cm="1">
        <f t="array" ref="G21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11" s="2">
        <v>14000</v>
      </c>
      <c r="I211" s="3">
        <f>TabelaFretes[[#This Row],[Valor]]/TabelaFretes[[#This Row],[Quilometragem]]</f>
        <v>7.7864293659621806</v>
      </c>
      <c r="J211" s="3">
        <f>TabelaFretes[[#This Row],[Valor]]/TabelaFretes[[#This Row],[Capacidade]]</f>
        <v>437.5</v>
      </c>
    </row>
    <row r="212" spans="1:10" x14ac:dyDescent="0.3">
      <c r="A212" s="2" t="s">
        <v>172</v>
      </c>
      <c r="B212" s="2" t="s">
        <v>195</v>
      </c>
      <c r="C212" s="2" t="s">
        <v>7</v>
      </c>
      <c r="D212" s="2" cm="1">
        <f t="array" ref="D21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12" s="2">
        <v>3</v>
      </c>
      <c r="F212" s="2">
        <v>2114</v>
      </c>
      <c r="G212" s="2" t="str" cm="1">
        <f t="array" ref="G21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12" s="2">
        <v>7700</v>
      </c>
      <c r="I212" s="3">
        <f>TabelaFretes[[#This Row],[Valor]]/TabelaFretes[[#This Row],[Quilometragem]]</f>
        <v>3.6423841059602649</v>
      </c>
      <c r="J212" s="3">
        <f>TabelaFretes[[#This Row],[Valor]]/TabelaFretes[[#This Row],[Capacidade]]</f>
        <v>550</v>
      </c>
    </row>
    <row r="213" spans="1:10" x14ac:dyDescent="0.3">
      <c r="A213" s="2" t="s">
        <v>172</v>
      </c>
      <c r="B213" s="2" t="s">
        <v>195</v>
      </c>
      <c r="C213" s="2" t="s">
        <v>9</v>
      </c>
      <c r="D213" s="2" cm="1">
        <f t="array" ref="D21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13" s="2">
        <v>4</v>
      </c>
      <c r="F213" s="2">
        <v>2114</v>
      </c>
      <c r="G213" s="2" t="str" cm="1">
        <f t="array" ref="G21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13" s="2">
        <v>10450</v>
      </c>
      <c r="I213" s="3">
        <f>TabelaFretes[[#This Row],[Valor]]/TabelaFretes[[#This Row],[Quilometragem]]</f>
        <v>4.9432355723746451</v>
      </c>
      <c r="J213" s="3">
        <f>TabelaFretes[[#This Row],[Valor]]/TabelaFretes[[#This Row],[Capacidade]]</f>
        <v>550</v>
      </c>
    </row>
    <row r="214" spans="1:10" x14ac:dyDescent="0.3">
      <c r="A214" s="2" t="s">
        <v>172</v>
      </c>
      <c r="B214" s="2" t="s">
        <v>195</v>
      </c>
      <c r="C214" s="2" t="s">
        <v>6</v>
      </c>
      <c r="D214" s="2" cm="1">
        <f t="array" ref="D21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14" s="2">
        <v>5</v>
      </c>
      <c r="F214" s="2">
        <v>2114</v>
      </c>
      <c r="G214" s="2" t="str" cm="1">
        <f t="array" ref="G21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14" s="2">
        <v>14000</v>
      </c>
      <c r="I214" s="3">
        <f>TabelaFretes[[#This Row],[Valor]]/TabelaFretes[[#This Row],[Quilometragem]]</f>
        <v>6.6225165562913908</v>
      </c>
      <c r="J214" s="3">
        <f>TabelaFretes[[#This Row],[Valor]]/TabelaFretes[[#This Row],[Capacidade]]</f>
        <v>518.51851851851848</v>
      </c>
    </row>
    <row r="215" spans="1:10" x14ac:dyDescent="0.3">
      <c r="A215" s="2" t="s">
        <v>172</v>
      </c>
      <c r="B215" s="2" t="s">
        <v>195</v>
      </c>
      <c r="C215" s="2" t="s">
        <v>158</v>
      </c>
      <c r="D215" s="2" cm="1">
        <f t="array" ref="D21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15" s="2">
        <v>6</v>
      </c>
      <c r="F215" s="2">
        <v>2114</v>
      </c>
      <c r="G215" s="2" t="str" cm="1">
        <f t="array" ref="G21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15" s="2">
        <v>14000</v>
      </c>
      <c r="I215" s="3">
        <f>TabelaFretes[[#This Row],[Valor]]/TabelaFretes[[#This Row],[Quilometragem]]</f>
        <v>6.6225165562913908</v>
      </c>
      <c r="J215" s="3">
        <f>TabelaFretes[[#This Row],[Valor]]/TabelaFretes[[#This Row],[Capacidade]]</f>
        <v>437.5</v>
      </c>
    </row>
    <row r="216" spans="1:10" x14ac:dyDescent="0.3">
      <c r="A216" s="2" t="s">
        <v>172</v>
      </c>
      <c r="B216" s="2" t="s">
        <v>196</v>
      </c>
      <c r="C216" s="2" t="s">
        <v>7</v>
      </c>
      <c r="D216" s="2" cm="1">
        <f t="array" ref="D21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16" s="2">
        <v>3</v>
      </c>
      <c r="F216" s="2">
        <v>2396</v>
      </c>
      <c r="G216" s="2" t="str" cm="1">
        <f t="array" ref="G21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16" s="2">
        <v>7700</v>
      </c>
      <c r="I216" s="3">
        <f>TabelaFretes[[#This Row],[Valor]]/TabelaFretes[[#This Row],[Quilometragem]]</f>
        <v>3.2136894824707847</v>
      </c>
      <c r="J216" s="3">
        <f>TabelaFretes[[#This Row],[Valor]]/TabelaFretes[[#This Row],[Capacidade]]</f>
        <v>550</v>
      </c>
    </row>
    <row r="217" spans="1:10" x14ac:dyDescent="0.3">
      <c r="A217" s="2" t="s">
        <v>172</v>
      </c>
      <c r="B217" s="2" t="s">
        <v>196</v>
      </c>
      <c r="C217" s="2" t="s">
        <v>6</v>
      </c>
      <c r="D217" s="2" cm="1">
        <f t="array" ref="D21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17" s="2">
        <v>5</v>
      </c>
      <c r="F217" s="2">
        <v>2396</v>
      </c>
      <c r="G217" s="2" t="str" cm="1">
        <f t="array" ref="G21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17" s="2">
        <v>14000</v>
      </c>
      <c r="I217" s="3">
        <f>TabelaFretes[[#This Row],[Valor]]/TabelaFretes[[#This Row],[Quilometragem]]</f>
        <v>5.8430717863105173</v>
      </c>
      <c r="J217" s="3">
        <f>TabelaFretes[[#This Row],[Valor]]/TabelaFretes[[#This Row],[Capacidade]]</f>
        <v>518.51851851851848</v>
      </c>
    </row>
    <row r="218" spans="1:10" x14ac:dyDescent="0.3">
      <c r="A218" s="2" t="s">
        <v>172</v>
      </c>
      <c r="B218" s="2" t="s">
        <v>196</v>
      </c>
      <c r="C218" s="2" t="s">
        <v>158</v>
      </c>
      <c r="D218" s="2" cm="1">
        <f t="array" ref="D21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18" s="2">
        <v>6</v>
      </c>
      <c r="F218" s="2">
        <v>2396</v>
      </c>
      <c r="G218" s="2" t="str" cm="1">
        <f t="array" ref="G21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18" s="2">
        <v>14000</v>
      </c>
      <c r="I218" s="3">
        <f>TabelaFretes[[#This Row],[Valor]]/TabelaFretes[[#This Row],[Quilometragem]]</f>
        <v>5.8430717863105173</v>
      </c>
      <c r="J218" s="3">
        <f>TabelaFretes[[#This Row],[Valor]]/TabelaFretes[[#This Row],[Capacidade]]</f>
        <v>437.5</v>
      </c>
    </row>
    <row r="219" spans="1:10" x14ac:dyDescent="0.3">
      <c r="A219" s="2" t="s">
        <v>172</v>
      </c>
      <c r="B219" s="2" t="s">
        <v>197</v>
      </c>
      <c r="C219" s="2" t="s">
        <v>7</v>
      </c>
      <c r="D219" s="2" cm="1">
        <f t="array" ref="D21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19" s="2">
        <v>3</v>
      </c>
      <c r="F219" s="2">
        <v>2109</v>
      </c>
      <c r="G219" s="2" t="str" cm="1">
        <f t="array" ref="G21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19" s="2">
        <v>7700</v>
      </c>
      <c r="I219" s="3">
        <f>TabelaFretes[[#This Row],[Valor]]/TabelaFretes[[#This Row],[Quilometragem]]</f>
        <v>3.6510194404931249</v>
      </c>
      <c r="J219" s="3">
        <f>TabelaFretes[[#This Row],[Valor]]/TabelaFretes[[#This Row],[Capacidade]]</f>
        <v>550</v>
      </c>
    </row>
    <row r="220" spans="1:10" x14ac:dyDescent="0.3">
      <c r="A220" s="2" t="s">
        <v>172</v>
      </c>
      <c r="B220" s="2" t="s">
        <v>197</v>
      </c>
      <c r="C220" s="2" t="s">
        <v>6</v>
      </c>
      <c r="D220" s="2" cm="1">
        <f t="array" ref="D22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20" s="2">
        <v>5</v>
      </c>
      <c r="F220" s="2">
        <v>2109</v>
      </c>
      <c r="G220" s="2" t="str" cm="1">
        <f t="array" ref="G22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0" s="2">
        <v>14000</v>
      </c>
      <c r="I220" s="3">
        <f>TabelaFretes[[#This Row],[Valor]]/TabelaFretes[[#This Row],[Quilometragem]]</f>
        <v>6.6382171645329544</v>
      </c>
      <c r="J220" s="3">
        <f>TabelaFretes[[#This Row],[Valor]]/TabelaFretes[[#This Row],[Capacidade]]</f>
        <v>518.51851851851848</v>
      </c>
    </row>
    <row r="221" spans="1:10" x14ac:dyDescent="0.3">
      <c r="A221" s="2" t="s">
        <v>172</v>
      </c>
      <c r="B221" s="2" t="s">
        <v>197</v>
      </c>
      <c r="C221" s="2" t="s">
        <v>158</v>
      </c>
      <c r="D221" s="2" cm="1">
        <f t="array" ref="D22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21" s="2">
        <v>6</v>
      </c>
      <c r="F221" s="2">
        <v>2109</v>
      </c>
      <c r="G221" s="2" t="str" cm="1">
        <f t="array" ref="G22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1" s="2">
        <v>14000</v>
      </c>
      <c r="I221" s="3">
        <f>TabelaFretes[[#This Row],[Valor]]/TabelaFretes[[#This Row],[Quilometragem]]</f>
        <v>6.6382171645329544</v>
      </c>
      <c r="J221" s="3">
        <f>TabelaFretes[[#This Row],[Valor]]/TabelaFretes[[#This Row],[Capacidade]]</f>
        <v>437.5</v>
      </c>
    </row>
    <row r="222" spans="1:10" x14ac:dyDescent="0.3">
      <c r="A222" s="2" t="s">
        <v>172</v>
      </c>
      <c r="B222" s="2" t="s">
        <v>198</v>
      </c>
      <c r="C222" s="2" t="s">
        <v>7</v>
      </c>
      <c r="D222" s="2" cm="1">
        <f t="array" ref="D22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22" s="2">
        <v>3</v>
      </c>
      <c r="F222" s="2">
        <v>2027</v>
      </c>
      <c r="G222" s="2" t="str" cm="1">
        <f t="array" ref="G22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2" s="2">
        <v>7700</v>
      </c>
      <c r="I222" s="3">
        <f>TabelaFretes[[#This Row],[Valor]]/TabelaFretes[[#This Row],[Quilometragem]]</f>
        <v>3.7987173162308832</v>
      </c>
      <c r="J222" s="3">
        <f>TabelaFretes[[#This Row],[Valor]]/TabelaFretes[[#This Row],[Capacidade]]</f>
        <v>550</v>
      </c>
    </row>
    <row r="223" spans="1:10" x14ac:dyDescent="0.3">
      <c r="A223" s="2" t="s">
        <v>172</v>
      </c>
      <c r="B223" s="2" t="s">
        <v>198</v>
      </c>
      <c r="C223" s="2" t="s">
        <v>6</v>
      </c>
      <c r="D223" s="2" cm="1">
        <f t="array" ref="D22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23" s="2">
        <v>5</v>
      </c>
      <c r="F223" s="2">
        <v>2027</v>
      </c>
      <c r="G223" s="2" t="str" cm="1">
        <f t="array" ref="G22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3" s="2">
        <v>14000</v>
      </c>
      <c r="I223" s="3">
        <f>TabelaFretes[[#This Row],[Valor]]/TabelaFretes[[#This Row],[Quilometragem]]</f>
        <v>6.9067587567834234</v>
      </c>
      <c r="J223" s="3">
        <f>TabelaFretes[[#This Row],[Valor]]/TabelaFretes[[#This Row],[Capacidade]]</f>
        <v>518.51851851851848</v>
      </c>
    </row>
    <row r="224" spans="1:10" x14ac:dyDescent="0.3">
      <c r="A224" s="2" t="s">
        <v>172</v>
      </c>
      <c r="B224" s="2" t="s">
        <v>198</v>
      </c>
      <c r="C224" s="2" t="s">
        <v>158</v>
      </c>
      <c r="D224" s="2" cm="1">
        <f t="array" ref="D22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24" s="2">
        <v>6</v>
      </c>
      <c r="F224" s="2">
        <v>2027</v>
      </c>
      <c r="G224" s="2" t="str" cm="1">
        <f t="array" ref="G22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4" s="2">
        <v>14000</v>
      </c>
      <c r="I224" s="3">
        <f>TabelaFretes[[#This Row],[Valor]]/TabelaFretes[[#This Row],[Quilometragem]]</f>
        <v>6.9067587567834234</v>
      </c>
      <c r="J224" s="3">
        <f>TabelaFretes[[#This Row],[Valor]]/TabelaFretes[[#This Row],[Capacidade]]</f>
        <v>437.5</v>
      </c>
    </row>
    <row r="225" spans="1:10" x14ac:dyDescent="0.3">
      <c r="A225" s="2" t="s">
        <v>172</v>
      </c>
      <c r="B225" s="2" t="s">
        <v>199</v>
      </c>
      <c r="C225" s="2" t="s">
        <v>7</v>
      </c>
      <c r="D225" s="2" cm="1">
        <f t="array" ref="D22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25" s="2">
        <v>3</v>
      </c>
      <c r="F225" s="2">
        <v>2397</v>
      </c>
      <c r="G225" s="2" t="str" cm="1">
        <f t="array" ref="G22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5" s="2">
        <v>7700</v>
      </c>
      <c r="I225" s="3">
        <f>TabelaFretes[[#This Row],[Valor]]/TabelaFretes[[#This Row],[Quilometragem]]</f>
        <v>3.2123487692949522</v>
      </c>
      <c r="J225" s="3">
        <f>TabelaFretes[[#This Row],[Valor]]/TabelaFretes[[#This Row],[Capacidade]]</f>
        <v>550</v>
      </c>
    </row>
    <row r="226" spans="1:10" x14ac:dyDescent="0.3">
      <c r="A226" s="2" t="s">
        <v>172</v>
      </c>
      <c r="B226" s="2" t="s">
        <v>199</v>
      </c>
      <c r="C226" s="2" t="s">
        <v>9</v>
      </c>
      <c r="D226" s="2" cm="1">
        <f t="array" ref="D22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26" s="2">
        <v>4</v>
      </c>
      <c r="F226" s="2">
        <v>2397</v>
      </c>
      <c r="G226" s="2" t="str" cm="1">
        <f t="array" ref="G22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6" s="2">
        <v>10450</v>
      </c>
      <c r="I226" s="3">
        <f>TabelaFretes[[#This Row],[Valor]]/TabelaFretes[[#This Row],[Quilometragem]]</f>
        <v>4.3596161869002916</v>
      </c>
      <c r="J226" s="3">
        <f>TabelaFretes[[#This Row],[Valor]]/TabelaFretes[[#This Row],[Capacidade]]</f>
        <v>550</v>
      </c>
    </row>
    <row r="227" spans="1:10" x14ac:dyDescent="0.3">
      <c r="A227" s="2" t="s">
        <v>172</v>
      </c>
      <c r="B227" s="2" t="s">
        <v>199</v>
      </c>
      <c r="C227" s="2" t="s">
        <v>6</v>
      </c>
      <c r="D227" s="2" cm="1">
        <f t="array" ref="D22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27" s="2">
        <v>5</v>
      </c>
      <c r="F227" s="2">
        <v>2397</v>
      </c>
      <c r="G227" s="2" t="str" cm="1">
        <f t="array" ref="G22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7" s="2">
        <v>14000</v>
      </c>
      <c r="I227" s="3">
        <f>TabelaFretes[[#This Row],[Valor]]/TabelaFretes[[#This Row],[Quilometragem]]</f>
        <v>5.8406341259908219</v>
      </c>
      <c r="J227" s="3">
        <f>TabelaFretes[[#This Row],[Valor]]/TabelaFretes[[#This Row],[Capacidade]]</f>
        <v>518.51851851851848</v>
      </c>
    </row>
    <row r="228" spans="1:10" x14ac:dyDescent="0.3">
      <c r="A228" s="2" t="s">
        <v>172</v>
      </c>
      <c r="B228" s="2" t="s">
        <v>199</v>
      </c>
      <c r="C228" s="2" t="s">
        <v>158</v>
      </c>
      <c r="D228" s="2" cm="1">
        <f t="array" ref="D22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28" s="2">
        <v>6</v>
      </c>
      <c r="F228" s="2">
        <v>2397</v>
      </c>
      <c r="G228" s="2" t="str" cm="1">
        <f t="array" ref="G22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8" s="2">
        <v>14000</v>
      </c>
      <c r="I228" s="3">
        <f>TabelaFretes[[#This Row],[Valor]]/TabelaFretes[[#This Row],[Quilometragem]]</f>
        <v>5.8406341259908219</v>
      </c>
      <c r="J228" s="3">
        <f>TabelaFretes[[#This Row],[Valor]]/TabelaFretes[[#This Row],[Capacidade]]</f>
        <v>437.5</v>
      </c>
    </row>
    <row r="229" spans="1:10" x14ac:dyDescent="0.3">
      <c r="A229" s="2" t="s">
        <v>172</v>
      </c>
      <c r="B229" s="2" t="s">
        <v>200</v>
      </c>
      <c r="C229" s="2" t="s">
        <v>7</v>
      </c>
      <c r="D229" s="2" cm="1">
        <f t="array" ref="D22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29" s="2">
        <v>3</v>
      </c>
      <c r="F229" s="2">
        <v>2081</v>
      </c>
      <c r="G229" s="2" t="str" cm="1">
        <f t="array" ref="G22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29" s="2">
        <v>7700</v>
      </c>
      <c r="I229" s="3">
        <f>TabelaFretes[[#This Row],[Valor]]/TabelaFretes[[#This Row],[Quilometragem]]</f>
        <v>3.7001441614608361</v>
      </c>
      <c r="J229" s="3">
        <f>TabelaFretes[[#This Row],[Valor]]/TabelaFretes[[#This Row],[Capacidade]]</f>
        <v>550</v>
      </c>
    </row>
    <row r="230" spans="1:10" x14ac:dyDescent="0.3">
      <c r="A230" s="2" t="s">
        <v>172</v>
      </c>
      <c r="B230" s="2" t="s">
        <v>200</v>
      </c>
      <c r="C230" s="2" t="s">
        <v>6</v>
      </c>
      <c r="D230" s="2" cm="1">
        <f t="array" ref="D23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30" s="2">
        <v>5</v>
      </c>
      <c r="F230" s="2">
        <v>2081</v>
      </c>
      <c r="G230" s="2" t="str" cm="1">
        <f t="array" ref="G23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0" s="2">
        <v>14000</v>
      </c>
      <c r="I230" s="3">
        <f>TabelaFretes[[#This Row],[Valor]]/TabelaFretes[[#This Row],[Quilometragem]]</f>
        <v>6.7275348390197021</v>
      </c>
      <c r="J230" s="3">
        <f>TabelaFretes[[#This Row],[Valor]]/TabelaFretes[[#This Row],[Capacidade]]</f>
        <v>518.51851851851848</v>
      </c>
    </row>
    <row r="231" spans="1:10" x14ac:dyDescent="0.3">
      <c r="A231" s="2" t="s">
        <v>172</v>
      </c>
      <c r="B231" s="2" t="s">
        <v>200</v>
      </c>
      <c r="C231" s="2" t="s">
        <v>158</v>
      </c>
      <c r="D231" s="2" cm="1">
        <f t="array" ref="D23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231" s="2">
        <v>6</v>
      </c>
      <c r="F231" s="2">
        <v>2081</v>
      </c>
      <c r="G231" s="2" t="str" cm="1">
        <f t="array" ref="G23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1" s="2">
        <v>14000</v>
      </c>
      <c r="I231" s="3">
        <f>TabelaFretes[[#This Row],[Valor]]/TabelaFretes[[#This Row],[Quilometragem]]</f>
        <v>6.7275348390197021</v>
      </c>
      <c r="J231" s="3">
        <f>TabelaFretes[[#This Row],[Valor]]/TabelaFretes[[#This Row],[Capacidade]]</f>
        <v>437.5</v>
      </c>
    </row>
    <row r="232" spans="1:10" x14ac:dyDescent="0.3">
      <c r="A232" s="2" t="s">
        <v>4</v>
      </c>
      <c r="B232" s="2" t="s">
        <v>5</v>
      </c>
      <c r="C232" s="2" t="s">
        <v>7</v>
      </c>
      <c r="D232" s="2" cm="1">
        <f t="array" ref="D23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32" s="2">
        <v>3</v>
      </c>
      <c r="F232" s="2">
        <v>2022</v>
      </c>
      <c r="G232" s="2" t="str" cm="1">
        <f t="array" ref="G23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2" s="2">
        <v>8200</v>
      </c>
      <c r="I232" s="3">
        <f>TabelaFretes[[#This Row],[Valor]]/TabelaFretes[[#This Row],[Quilometragem]]</f>
        <v>4.0553907022749751</v>
      </c>
      <c r="J232" s="3">
        <f>TabelaFretes[[#This Row],[Valor]]/TabelaFretes[[#This Row],[Capacidade]]</f>
        <v>585.71428571428567</v>
      </c>
    </row>
    <row r="233" spans="1:10" x14ac:dyDescent="0.3">
      <c r="A233" s="2" t="s">
        <v>4</v>
      </c>
      <c r="B233" s="2" t="s">
        <v>5</v>
      </c>
      <c r="C233" s="2" t="s">
        <v>6</v>
      </c>
      <c r="D233" s="2" cm="1">
        <f t="array" ref="D23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33" s="2">
        <v>5</v>
      </c>
      <c r="F233" s="2">
        <v>2022</v>
      </c>
      <c r="G233" s="2" t="str" cm="1">
        <f t="array" ref="G23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3" s="2">
        <v>15000</v>
      </c>
      <c r="I233" s="3">
        <f>TabelaFretes[[#This Row],[Valor]]/TabelaFretes[[#This Row],[Quilometragem]]</f>
        <v>7.4183976261127595</v>
      </c>
      <c r="J233" s="3">
        <f>TabelaFretes[[#This Row],[Valor]]/TabelaFretes[[#This Row],[Capacidade]]</f>
        <v>555.55555555555554</v>
      </c>
    </row>
    <row r="234" spans="1:10" x14ac:dyDescent="0.3">
      <c r="A234" s="2" t="s">
        <v>4</v>
      </c>
      <c r="B234" s="2" t="s">
        <v>8</v>
      </c>
      <c r="C234" s="2" t="s">
        <v>7</v>
      </c>
      <c r="D234" s="2" cm="1">
        <f t="array" ref="D23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34" s="2">
        <v>3</v>
      </c>
      <c r="F234" s="2">
        <v>2041</v>
      </c>
      <c r="G234" s="2" t="str" cm="1">
        <f t="array" ref="G23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4" s="2">
        <v>8200</v>
      </c>
      <c r="I234" s="3">
        <f>TabelaFretes[[#This Row],[Valor]]/TabelaFretes[[#This Row],[Quilometragem]]</f>
        <v>4.0176384125428708</v>
      </c>
      <c r="J234" s="3">
        <f>TabelaFretes[[#This Row],[Valor]]/TabelaFretes[[#This Row],[Capacidade]]</f>
        <v>585.71428571428567</v>
      </c>
    </row>
    <row r="235" spans="1:10" x14ac:dyDescent="0.3">
      <c r="A235" s="2" t="s">
        <v>4</v>
      </c>
      <c r="B235" s="2" t="s">
        <v>8</v>
      </c>
      <c r="C235" s="2" t="s">
        <v>9</v>
      </c>
      <c r="D235" s="2" cm="1">
        <f t="array" ref="D23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35" s="2">
        <v>4</v>
      </c>
      <c r="F235" s="2">
        <v>2041</v>
      </c>
      <c r="G235" s="2" t="str" cm="1">
        <f t="array" ref="G23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5" s="2">
        <v>10000</v>
      </c>
      <c r="I235" s="3">
        <f>TabelaFretes[[#This Row],[Valor]]/TabelaFretes[[#This Row],[Quilometragem]]</f>
        <v>4.8995590396864284</v>
      </c>
      <c r="J235" s="3">
        <f>TabelaFretes[[#This Row],[Valor]]/TabelaFretes[[#This Row],[Capacidade]]</f>
        <v>526.31578947368416</v>
      </c>
    </row>
    <row r="236" spans="1:10" x14ac:dyDescent="0.3">
      <c r="A236" s="2" t="s">
        <v>4</v>
      </c>
      <c r="B236" s="2" t="s">
        <v>8</v>
      </c>
      <c r="C236" s="2" t="s">
        <v>6</v>
      </c>
      <c r="D236" s="2" cm="1">
        <f t="array" ref="D23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36" s="2">
        <v>5</v>
      </c>
      <c r="F236" s="2">
        <v>2041</v>
      </c>
      <c r="G236" s="2" t="str" cm="1">
        <f t="array" ref="G23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6" s="2">
        <v>15000</v>
      </c>
      <c r="I236" s="3">
        <f>TabelaFretes[[#This Row],[Valor]]/TabelaFretes[[#This Row],[Quilometragem]]</f>
        <v>7.3493385595296425</v>
      </c>
      <c r="J236" s="3">
        <f>TabelaFretes[[#This Row],[Valor]]/TabelaFretes[[#This Row],[Capacidade]]</f>
        <v>555.55555555555554</v>
      </c>
    </row>
    <row r="237" spans="1:10" x14ac:dyDescent="0.3">
      <c r="A237" s="2" t="s">
        <v>4</v>
      </c>
      <c r="B237" s="2" t="s">
        <v>10</v>
      </c>
      <c r="C237" s="2" t="s">
        <v>7</v>
      </c>
      <c r="D237" s="2" cm="1">
        <f t="array" ref="D23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37" s="2">
        <v>3</v>
      </c>
      <c r="F237" s="2">
        <v>2011</v>
      </c>
      <c r="G237" s="2" t="str" cm="1">
        <f t="array" ref="G23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7" s="2">
        <v>8200</v>
      </c>
      <c r="I237" s="3">
        <f>TabelaFretes[[#This Row],[Valor]]/TabelaFretes[[#This Row],[Quilometragem]]</f>
        <v>4.0775733465937343</v>
      </c>
      <c r="J237" s="3">
        <f>TabelaFretes[[#This Row],[Valor]]/TabelaFretes[[#This Row],[Capacidade]]</f>
        <v>585.71428571428567</v>
      </c>
    </row>
    <row r="238" spans="1:10" x14ac:dyDescent="0.3">
      <c r="A238" s="2" t="s">
        <v>4</v>
      </c>
      <c r="B238" s="2" t="s">
        <v>10</v>
      </c>
      <c r="C238" s="2" t="s">
        <v>6</v>
      </c>
      <c r="D238" s="2" cm="1">
        <f t="array" ref="D23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38" s="2">
        <v>5</v>
      </c>
      <c r="F238" s="2">
        <v>2011</v>
      </c>
      <c r="G238" s="2" t="str" cm="1">
        <f t="array" ref="G23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8" s="2">
        <v>15000</v>
      </c>
      <c r="I238" s="3">
        <f>TabelaFretes[[#This Row],[Valor]]/TabelaFretes[[#This Row],[Quilometragem]]</f>
        <v>7.458975634012929</v>
      </c>
      <c r="J238" s="3">
        <f>TabelaFretes[[#This Row],[Valor]]/TabelaFretes[[#This Row],[Capacidade]]</f>
        <v>555.55555555555554</v>
      </c>
    </row>
    <row r="239" spans="1:10" x14ac:dyDescent="0.3">
      <c r="A239" s="2" t="s">
        <v>4</v>
      </c>
      <c r="B239" s="2" t="s">
        <v>11</v>
      </c>
      <c r="C239" s="2" t="s">
        <v>7</v>
      </c>
      <c r="D239" s="2" cm="1">
        <f t="array" ref="D23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39" s="2">
        <v>3</v>
      </c>
      <c r="F239" s="2">
        <v>2033</v>
      </c>
      <c r="G239" s="2" t="str" cm="1">
        <f t="array" ref="G23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39" s="2">
        <v>9000</v>
      </c>
      <c r="I239" s="3">
        <f>TabelaFretes[[#This Row],[Valor]]/TabelaFretes[[#This Row],[Quilometragem]]</f>
        <v>4.426955238563699</v>
      </c>
      <c r="J239" s="3">
        <f>TabelaFretes[[#This Row],[Valor]]/TabelaFretes[[#This Row],[Capacidade]]</f>
        <v>642.85714285714289</v>
      </c>
    </row>
    <row r="240" spans="1:10" x14ac:dyDescent="0.3">
      <c r="A240" s="2" t="s">
        <v>4</v>
      </c>
      <c r="B240" s="2" t="s">
        <v>11</v>
      </c>
      <c r="C240" s="2" t="s">
        <v>9</v>
      </c>
      <c r="D240" s="2" cm="1">
        <f t="array" ref="D24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40" s="2">
        <v>4</v>
      </c>
      <c r="F240" s="2">
        <v>2033</v>
      </c>
      <c r="G240" s="2" t="str" cm="1">
        <f t="array" ref="G24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40" s="2">
        <v>11600</v>
      </c>
      <c r="I240" s="3">
        <f>TabelaFretes[[#This Row],[Valor]]/TabelaFretes[[#This Row],[Quilometragem]]</f>
        <v>5.7058534185932119</v>
      </c>
      <c r="J240" s="3">
        <f>TabelaFretes[[#This Row],[Valor]]/TabelaFretes[[#This Row],[Capacidade]]</f>
        <v>610.52631578947364</v>
      </c>
    </row>
    <row r="241" spans="1:10" x14ac:dyDescent="0.3">
      <c r="A241" s="2" t="s">
        <v>4</v>
      </c>
      <c r="B241" s="2" t="s">
        <v>11</v>
      </c>
      <c r="C241" s="2" t="s">
        <v>6</v>
      </c>
      <c r="D241" s="2" cm="1">
        <f t="array" ref="D24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41" s="2">
        <v>5</v>
      </c>
      <c r="F241" s="2">
        <v>2033</v>
      </c>
      <c r="G241" s="2" t="str" cm="1">
        <f t="array" ref="G24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41" s="2">
        <v>16400</v>
      </c>
      <c r="I241" s="3">
        <f>TabelaFretes[[#This Row],[Valor]]/TabelaFretes[[#This Row],[Quilometragem]]</f>
        <v>8.0668962124938517</v>
      </c>
      <c r="J241" s="3">
        <f>TabelaFretes[[#This Row],[Valor]]/TabelaFretes[[#This Row],[Capacidade]]</f>
        <v>607.40740740740739</v>
      </c>
    </row>
    <row r="242" spans="1:10" x14ac:dyDescent="0.3">
      <c r="A242" s="2" t="s">
        <v>4</v>
      </c>
      <c r="B242" s="2" t="s">
        <v>12</v>
      </c>
      <c r="C242" s="2" t="s">
        <v>7</v>
      </c>
      <c r="D242" s="2" cm="1">
        <f t="array" ref="D24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42" s="2">
        <v>3</v>
      </c>
      <c r="F242" s="2">
        <v>1862</v>
      </c>
      <c r="G242" s="2" t="str" cm="1">
        <f t="array" ref="G24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42" s="2">
        <v>8200</v>
      </c>
      <c r="I242" s="3">
        <f>TabelaFretes[[#This Row],[Valor]]/TabelaFretes[[#This Row],[Quilometragem]]</f>
        <v>4.4038668098818476</v>
      </c>
      <c r="J242" s="3">
        <f>TabelaFretes[[#This Row],[Valor]]/TabelaFretes[[#This Row],[Capacidade]]</f>
        <v>585.71428571428567</v>
      </c>
    </row>
    <row r="243" spans="1:10" x14ac:dyDescent="0.3">
      <c r="A243" s="2" t="s">
        <v>4</v>
      </c>
      <c r="B243" s="2" t="s">
        <v>12</v>
      </c>
      <c r="C243" s="2" t="s">
        <v>6</v>
      </c>
      <c r="D243" s="2" cm="1">
        <f t="array" ref="D24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43" s="2">
        <v>5</v>
      </c>
      <c r="F243" s="2">
        <v>1862</v>
      </c>
      <c r="G243" s="2" t="str" cm="1">
        <f t="array" ref="G24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43" s="2">
        <v>13000</v>
      </c>
      <c r="I243" s="3">
        <f>TabelaFretes[[#This Row],[Valor]]/TabelaFretes[[#This Row],[Quilometragem]]</f>
        <v>6.9817400644468313</v>
      </c>
      <c r="J243" s="3">
        <f>TabelaFretes[[#This Row],[Valor]]/TabelaFretes[[#This Row],[Capacidade]]</f>
        <v>481.48148148148147</v>
      </c>
    </row>
    <row r="244" spans="1:10" x14ac:dyDescent="0.3">
      <c r="A244" s="2" t="s">
        <v>4</v>
      </c>
      <c r="B244" s="2" t="s">
        <v>13</v>
      </c>
      <c r="C244" s="2" t="s">
        <v>7</v>
      </c>
      <c r="D244" s="2" cm="1">
        <f t="array" ref="D24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44" s="2">
        <v>3</v>
      </c>
      <c r="F244" s="2">
        <v>1967</v>
      </c>
      <c r="G244" s="2" t="str" cm="1">
        <f t="array" ref="G24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44" s="2">
        <v>8500</v>
      </c>
      <c r="I244" s="3">
        <f>TabelaFretes[[#This Row],[Valor]]/TabelaFretes[[#This Row],[Quilometragem]]</f>
        <v>4.3213014743263853</v>
      </c>
      <c r="J244" s="3">
        <f>TabelaFretes[[#This Row],[Valor]]/TabelaFretes[[#This Row],[Capacidade]]</f>
        <v>607.14285714285711</v>
      </c>
    </row>
    <row r="245" spans="1:10" x14ac:dyDescent="0.3">
      <c r="A245" s="2" t="s">
        <v>4</v>
      </c>
      <c r="B245" s="2" t="s">
        <v>13</v>
      </c>
      <c r="C245" s="2" t="s">
        <v>6</v>
      </c>
      <c r="D245" s="2" cm="1">
        <f t="array" ref="D24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45" s="2">
        <v>5</v>
      </c>
      <c r="F245" s="2">
        <v>1967</v>
      </c>
      <c r="G245" s="2" t="str" cm="1">
        <f t="array" ref="G24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245" s="2">
        <v>14200</v>
      </c>
      <c r="I245" s="3">
        <f>TabelaFretes[[#This Row],[Valor]]/TabelaFretes[[#This Row],[Quilometragem]]</f>
        <v>7.2191154041687851</v>
      </c>
      <c r="J245" s="3">
        <f>TabelaFretes[[#This Row],[Valor]]/TabelaFretes[[#This Row],[Capacidade]]</f>
        <v>525.92592592592598</v>
      </c>
    </row>
    <row r="246" spans="1:10" x14ac:dyDescent="0.3">
      <c r="A246" s="2" t="s">
        <v>4</v>
      </c>
      <c r="B246" s="2" t="s">
        <v>14</v>
      </c>
      <c r="C246" s="2" t="s">
        <v>7</v>
      </c>
      <c r="D246" s="2" cm="1">
        <f t="array" ref="D24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46" s="2">
        <v>3</v>
      </c>
      <c r="F246" s="2">
        <v>2198</v>
      </c>
      <c r="G246" s="2" t="str" cm="1">
        <f t="array" ref="G24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46" s="2">
        <v>8500</v>
      </c>
      <c r="I246" s="3">
        <f>TabelaFretes[[#This Row],[Valor]]/TabelaFretes[[#This Row],[Quilometragem]]</f>
        <v>3.8671519563239309</v>
      </c>
      <c r="J246" s="3">
        <f>TabelaFretes[[#This Row],[Valor]]/TabelaFretes[[#This Row],[Capacidade]]</f>
        <v>607.14285714285711</v>
      </c>
    </row>
    <row r="247" spans="1:10" x14ac:dyDescent="0.3">
      <c r="A247" s="2" t="s">
        <v>4</v>
      </c>
      <c r="B247" s="2" t="s">
        <v>14</v>
      </c>
      <c r="C247" s="2" t="s">
        <v>6</v>
      </c>
      <c r="D247" s="2" cm="1">
        <f t="array" ref="D24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47" s="2">
        <v>5</v>
      </c>
      <c r="F247" s="2">
        <v>2198</v>
      </c>
      <c r="G247" s="2" t="str" cm="1">
        <f t="array" ref="G24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47" s="2">
        <v>14000</v>
      </c>
      <c r="I247" s="3">
        <f>TabelaFretes[[#This Row],[Valor]]/TabelaFretes[[#This Row],[Quilometragem]]</f>
        <v>6.369426751592357</v>
      </c>
      <c r="J247" s="3">
        <f>TabelaFretes[[#This Row],[Valor]]/TabelaFretes[[#This Row],[Capacidade]]</f>
        <v>518.51851851851848</v>
      </c>
    </row>
    <row r="248" spans="1:10" x14ac:dyDescent="0.3">
      <c r="A248" s="2" t="s">
        <v>4</v>
      </c>
      <c r="B248" s="2" t="s">
        <v>15</v>
      </c>
      <c r="C248" s="2" t="s">
        <v>7</v>
      </c>
      <c r="D248" s="2" cm="1">
        <f t="array" ref="D24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48" s="2">
        <v>3</v>
      </c>
      <c r="F248" s="2">
        <v>2019</v>
      </c>
      <c r="G248" s="2" t="str" cm="1">
        <f t="array" ref="G24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48" s="2">
        <v>8200</v>
      </c>
      <c r="I248" s="3">
        <f>TabelaFretes[[#This Row],[Valor]]/TabelaFretes[[#This Row],[Quilometragem]]</f>
        <v>4.0614165428429914</v>
      </c>
      <c r="J248" s="3">
        <f>TabelaFretes[[#This Row],[Valor]]/TabelaFretes[[#This Row],[Capacidade]]</f>
        <v>585.71428571428567</v>
      </c>
    </row>
    <row r="249" spans="1:10" x14ac:dyDescent="0.3">
      <c r="A249" s="2" t="s">
        <v>4</v>
      </c>
      <c r="B249" s="2" t="s">
        <v>15</v>
      </c>
      <c r="C249" s="2" t="s">
        <v>6</v>
      </c>
      <c r="D249" s="2" cm="1">
        <f t="array" ref="D24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49" s="2">
        <v>5</v>
      </c>
      <c r="F249" s="2">
        <v>2019</v>
      </c>
      <c r="G249" s="2" t="str" cm="1">
        <f t="array" ref="G24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49" s="2">
        <v>15000</v>
      </c>
      <c r="I249" s="3">
        <f>TabelaFretes[[#This Row],[Valor]]/TabelaFretes[[#This Row],[Quilometragem]]</f>
        <v>7.4294205052005946</v>
      </c>
      <c r="J249" s="3">
        <f>TabelaFretes[[#This Row],[Valor]]/TabelaFretes[[#This Row],[Capacidade]]</f>
        <v>555.55555555555554</v>
      </c>
    </row>
    <row r="250" spans="1:10" x14ac:dyDescent="0.3">
      <c r="A250" s="2" t="s">
        <v>4</v>
      </c>
      <c r="B250" s="2" t="s">
        <v>16</v>
      </c>
      <c r="C250" s="2" t="s">
        <v>7</v>
      </c>
      <c r="D250" s="2" cm="1">
        <f t="array" ref="D25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50" s="2">
        <v>3</v>
      </c>
      <c r="F250" s="2">
        <v>2095</v>
      </c>
      <c r="G250" s="2" t="str" cm="1">
        <f t="array" ref="G25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50" s="2">
        <v>8200</v>
      </c>
      <c r="I250" s="3">
        <f>TabelaFretes[[#This Row],[Valor]]/TabelaFretes[[#This Row],[Quilometragem]]</f>
        <v>3.9140811455847255</v>
      </c>
      <c r="J250" s="3">
        <f>TabelaFretes[[#This Row],[Valor]]/TabelaFretes[[#This Row],[Capacidade]]</f>
        <v>585.71428571428567</v>
      </c>
    </row>
    <row r="251" spans="1:10" x14ac:dyDescent="0.3">
      <c r="A251" s="2" t="s">
        <v>4</v>
      </c>
      <c r="B251" s="2" t="s">
        <v>16</v>
      </c>
      <c r="C251" s="2" t="s">
        <v>9</v>
      </c>
      <c r="D251" s="2" cm="1">
        <f t="array" ref="D25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51" s="2">
        <v>4</v>
      </c>
      <c r="F251" s="2">
        <v>2095</v>
      </c>
      <c r="G251" s="2" t="str" cm="1">
        <f t="array" ref="G25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51" s="2">
        <v>10000</v>
      </c>
      <c r="I251" s="3">
        <f>TabelaFretes[[#This Row],[Valor]]/TabelaFretes[[#This Row],[Quilometragem]]</f>
        <v>4.7732696897374698</v>
      </c>
      <c r="J251" s="3">
        <f>TabelaFretes[[#This Row],[Valor]]/TabelaFretes[[#This Row],[Capacidade]]</f>
        <v>526.31578947368416</v>
      </c>
    </row>
    <row r="252" spans="1:10" x14ac:dyDescent="0.3">
      <c r="A252" s="2" t="s">
        <v>4</v>
      </c>
      <c r="B252" s="2" t="s">
        <v>16</v>
      </c>
      <c r="C252" s="2" t="s">
        <v>6</v>
      </c>
      <c r="D252" s="2" cm="1">
        <f t="array" ref="D25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52" s="2">
        <v>5</v>
      </c>
      <c r="F252" s="2">
        <v>2095</v>
      </c>
      <c r="G252" s="2" t="str" cm="1">
        <f t="array" ref="G25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52" s="2">
        <v>15000</v>
      </c>
      <c r="I252" s="3">
        <f>TabelaFretes[[#This Row],[Valor]]/TabelaFretes[[#This Row],[Quilometragem]]</f>
        <v>7.1599045346062056</v>
      </c>
      <c r="J252" s="3">
        <f>TabelaFretes[[#This Row],[Valor]]/TabelaFretes[[#This Row],[Capacidade]]</f>
        <v>555.55555555555554</v>
      </c>
    </row>
    <row r="253" spans="1:10" x14ac:dyDescent="0.3">
      <c r="A253" s="2" t="s">
        <v>4</v>
      </c>
      <c r="B253" s="2" t="s">
        <v>17</v>
      </c>
      <c r="C253" s="2" t="s">
        <v>7</v>
      </c>
      <c r="D253" s="2" cm="1">
        <f t="array" ref="D25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53" s="2">
        <v>3</v>
      </c>
      <c r="F253" s="2">
        <v>2036</v>
      </c>
      <c r="G253" s="2" t="str" cm="1">
        <f t="array" ref="G25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53" s="2">
        <v>8500</v>
      </c>
      <c r="I253" s="3">
        <f>TabelaFretes[[#This Row],[Valor]]/TabelaFretes[[#This Row],[Quilometragem]]</f>
        <v>4.1748526522593323</v>
      </c>
      <c r="J253" s="3">
        <f>TabelaFretes[[#This Row],[Valor]]/TabelaFretes[[#This Row],[Capacidade]]</f>
        <v>607.14285714285711</v>
      </c>
    </row>
    <row r="254" spans="1:10" x14ac:dyDescent="0.3">
      <c r="A254" s="2" t="s">
        <v>4</v>
      </c>
      <c r="B254" s="2" t="s">
        <v>18</v>
      </c>
      <c r="C254" s="2" t="s">
        <v>7</v>
      </c>
      <c r="D254" s="2" cm="1">
        <f t="array" ref="D25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54" s="2">
        <v>3</v>
      </c>
      <c r="F254" s="2">
        <v>2106</v>
      </c>
      <c r="G254" s="2" t="str" cm="1">
        <f t="array" ref="G25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254" s="2">
        <v>8100</v>
      </c>
      <c r="I254" s="3">
        <f>TabelaFretes[[#This Row],[Valor]]/TabelaFretes[[#This Row],[Quilometragem]]</f>
        <v>3.8461538461538463</v>
      </c>
      <c r="J254" s="3">
        <f>TabelaFretes[[#This Row],[Valor]]/TabelaFretes[[#This Row],[Capacidade]]</f>
        <v>578.57142857142856</v>
      </c>
    </row>
    <row r="255" spans="1:10" x14ac:dyDescent="0.3">
      <c r="A255" s="2" t="s">
        <v>54</v>
      </c>
      <c r="B255" s="2" t="s">
        <v>55</v>
      </c>
      <c r="C255" s="2" t="s">
        <v>7</v>
      </c>
      <c r="D255" s="2" cm="1">
        <f t="array" ref="D25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55" s="2">
        <v>3</v>
      </c>
      <c r="F255" s="2">
        <v>130</v>
      </c>
      <c r="G255" s="2" t="str" cm="1">
        <f t="array" ref="G25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55" s="2">
        <v>1100</v>
      </c>
      <c r="I255" s="3">
        <f>TabelaFretes[[#This Row],[Valor]]/TabelaFretes[[#This Row],[Quilometragem]]</f>
        <v>8.4615384615384617</v>
      </c>
      <c r="J255" s="3">
        <f>TabelaFretes[[#This Row],[Valor]]/TabelaFretes[[#This Row],[Capacidade]]</f>
        <v>78.571428571428569</v>
      </c>
    </row>
    <row r="256" spans="1:10" x14ac:dyDescent="0.3">
      <c r="A256" s="2" t="s">
        <v>54</v>
      </c>
      <c r="B256" s="2" t="s">
        <v>55</v>
      </c>
      <c r="C256" s="2" t="s">
        <v>9</v>
      </c>
      <c r="D256" s="2" cm="1">
        <f t="array" ref="D25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56" s="2">
        <v>4</v>
      </c>
      <c r="F256" s="2">
        <v>130</v>
      </c>
      <c r="G256" s="2" t="str" cm="1">
        <f t="array" ref="G25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56" s="2">
        <v>1500</v>
      </c>
      <c r="I256" s="3">
        <f>TabelaFretes[[#This Row],[Valor]]/TabelaFretes[[#This Row],[Quilometragem]]</f>
        <v>11.538461538461538</v>
      </c>
      <c r="J256" s="3">
        <f>TabelaFretes[[#This Row],[Valor]]/TabelaFretes[[#This Row],[Capacidade]]</f>
        <v>78.94736842105263</v>
      </c>
    </row>
    <row r="257" spans="1:10" x14ac:dyDescent="0.3">
      <c r="A257" s="2" t="s">
        <v>54</v>
      </c>
      <c r="B257" s="2" t="s">
        <v>55</v>
      </c>
      <c r="C257" s="2" t="s">
        <v>6</v>
      </c>
      <c r="D257" s="2" cm="1">
        <f t="array" ref="D25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57" s="2">
        <v>5</v>
      </c>
      <c r="F257" s="2">
        <v>130</v>
      </c>
      <c r="G257" s="2" t="str" cm="1">
        <f t="array" ref="G25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57" s="2">
        <v>2000</v>
      </c>
      <c r="I257" s="3">
        <f>TabelaFretes[[#This Row],[Valor]]/TabelaFretes[[#This Row],[Quilometragem]]</f>
        <v>15.384615384615385</v>
      </c>
      <c r="J257" s="3">
        <f>TabelaFretes[[#This Row],[Valor]]/TabelaFretes[[#This Row],[Capacidade]]</f>
        <v>74.074074074074076</v>
      </c>
    </row>
    <row r="258" spans="1:10" x14ac:dyDescent="0.3">
      <c r="A258" s="2" t="s">
        <v>54</v>
      </c>
      <c r="B258" s="2" t="s">
        <v>56</v>
      </c>
      <c r="C258" s="2" t="s">
        <v>7</v>
      </c>
      <c r="D258" s="2" cm="1">
        <f t="array" ref="D25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58" s="2">
        <v>3</v>
      </c>
      <c r="F258" s="2">
        <v>143</v>
      </c>
      <c r="G258" s="2" t="str" cm="1">
        <f t="array" ref="G25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58" s="2">
        <v>1300</v>
      </c>
      <c r="I258" s="3">
        <f>TabelaFretes[[#This Row],[Valor]]/TabelaFretes[[#This Row],[Quilometragem]]</f>
        <v>9.0909090909090917</v>
      </c>
      <c r="J258" s="3">
        <f>TabelaFretes[[#This Row],[Valor]]/TabelaFretes[[#This Row],[Capacidade]]</f>
        <v>92.857142857142861</v>
      </c>
    </row>
    <row r="259" spans="1:10" x14ac:dyDescent="0.3">
      <c r="A259" s="2" t="s">
        <v>54</v>
      </c>
      <c r="B259" s="2" t="s">
        <v>56</v>
      </c>
      <c r="C259" s="2" t="s">
        <v>9</v>
      </c>
      <c r="D259" s="2" cm="1">
        <f t="array" ref="D25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59" s="2">
        <v>4</v>
      </c>
      <c r="F259" s="2">
        <v>143</v>
      </c>
      <c r="G259" s="2" t="str" cm="1">
        <f t="array" ref="G25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59" s="2">
        <v>1750</v>
      </c>
      <c r="I259" s="3">
        <f>TabelaFretes[[#This Row],[Valor]]/TabelaFretes[[#This Row],[Quilometragem]]</f>
        <v>12.237762237762238</v>
      </c>
      <c r="J259" s="3">
        <f>TabelaFretes[[#This Row],[Valor]]/TabelaFretes[[#This Row],[Capacidade]]</f>
        <v>92.10526315789474</v>
      </c>
    </row>
    <row r="260" spans="1:10" x14ac:dyDescent="0.3">
      <c r="A260" s="2" t="s">
        <v>54</v>
      </c>
      <c r="B260" s="2" t="s">
        <v>56</v>
      </c>
      <c r="C260" s="2" t="s">
        <v>6</v>
      </c>
      <c r="D260" s="2" cm="1">
        <f t="array" ref="D26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60" s="2">
        <v>5</v>
      </c>
      <c r="F260" s="2">
        <v>143</v>
      </c>
      <c r="G260" s="2" t="str" cm="1">
        <f t="array" ref="G26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60" s="2">
        <v>1600</v>
      </c>
      <c r="I260" s="3">
        <f>TabelaFretes[[#This Row],[Valor]]/TabelaFretes[[#This Row],[Quilometragem]]</f>
        <v>11.188811188811188</v>
      </c>
      <c r="J260" s="3">
        <f>TabelaFretes[[#This Row],[Valor]]/TabelaFretes[[#This Row],[Capacidade]]</f>
        <v>59.25925925925926</v>
      </c>
    </row>
    <row r="261" spans="1:10" x14ac:dyDescent="0.3">
      <c r="A261" s="2" t="s">
        <v>54</v>
      </c>
      <c r="B261" s="2" t="s">
        <v>57</v>
      </c>
      <c r="C261" s="2" t="s">
        <v>7</v>
      </c>
      <c r="D261" s="2" cm="1">
        <f t="array" ref="D26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61" s="2">
        <v>3</v>
      </c>
      <c r="F261" s="2">
        <v>215</v>
      </c>
      <c r="G261" s="2" t="str" cm="1">
        <f t="array" ref="G26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61" s="2">
        <v>1900</v>
      </c>
      <c r="I261" s="3">
        <f>TabelaFretes[[#This Row],[Valor]]/TabelaFretes[[#This Row],[Quilometragem]]</f>
        <v>8.8372093023255811</v>
      </c>
      <c r="J261" s="3">
        <f>TabelaFretes[[#This Row],[Valor]]/TabelaFretes[[#This Row],[Capacidade]]</f>
        <v>135.71428571428572</v>
      </c>
    </row>
    <row r="262" spans="1:10" x14ac:dyDescent="0.3">
      <c r="A262" s="2" t="s">
        <v>54</v>
      </c>
      <c r="B262" s="2" t="s">
        <v>57</v>
      </c>
      <c r="C262" s="2" t="s">
        <v>9</v>
      </c>
      <c r="D262" s="2" cm="1">
        <f t="array" ref="D26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62" s="2">
        <v>4</v>
      </c>
      <c r="F262" s="2">
        <v>215</v>
      </c>
      <c r="G262" s="2" t="str" cm="1">
        <f t="array" ref="G26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62" s="2">
        <v>2450</v>
      </c>
      <c r="I262" s="3">
        <f>TabelaFretes[[#This Row],[Valor]]/TabelaFretes[[#This Row],[Quilometragem]]</f>
        <v>11.395348837209303</v>
      </c>
      <c r="J262" s="3">
        <f>TabelaFretes[[#This Row],[Valor]]/TabelaFretes[[#This Row],[Capacidade]]</f>
        <v>128.94736842105263</v>
      </c>
    </row>
    <row r="263" spans="1:10" x14ac:dyDescent="0.3">
      <c r="A263" s="2" t="s">
        <v>54</v>
      </c>
      <c r="B263" s="2" t="s">
        <v>57</v>
      </c>
      <c r="C263" s="2" t="s">
        <v>6</v>
      </c>
      <c r="D263" s="2" cm="1">
        <f t="array" ref="D26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63" s="2">
        <v>5</v>
      </c>
      <c r="F263" s="2">
        <v>215</v>
      </c>
      <c r="G263" s="2" t="str" cm="1">
        <f t="array" ref="G26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63" s="2">
        <v>3400</v>
      </c>
      <c r="I263" s="3">
        <f>TabelaFretes[[#This Row],[Valor]]/TabelaFretes[[#This Row],[Quilometragem]]</f>
        <v>15.813953488372093</v>
      </c>
      <c r="J263" s="3">
        <f>TabelaFretes[[#This Row],[Valor]]/TabelaFretes[[#This Row],[Capacidade]]</f>
        <v>125.92592592592592</v>
      </c>
    </row>
    <row r="264" spans="1:10" x14ac:dyDescent="0.3">
      <c r="A264" s="2" t="s">
        <v>54</v>
      </c>
      <c r="B264" s="2" t="s">
        <v>58</v>
      </c>
      <c r="C264" s="2" t="s">
        <v>7</v>
      </c>
      <c r="D264" s="2" cm="1">
        <f t="array" ref="D26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64" s="2">
        <v>3</v>
      </c>
      <c r="F264" s="2">
        <v>130</v>
      </c>
      <c r="G264" s="2" t="str" cm="1">
        <f t="array" ref="G26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64" s="2">
        <v>1100</v>
      </c>
      <c r="I264" s="3">
        <f>TabelaFretes[[#This Row],[Valor]]/TabelaFretes[[#This Row],[Quilometragem]]</f>
        <v>8.4615384615384617</v>
      </c>
      <c r="J264" s="3">
        <f>TabelaFretes[[#This Row],[Valor]]/TabelaFretes[[#This Row],[Capacidade]]</f>
        <v>78.571428571428569</v>
      </c>
    </row>
    <row r="265" spans="1:10" x14ac:dyDescent="0.3">
      <c r="A265" s="2" t="s">
        <v>54</v>
      </c>
      <c r="B265" s="2" t="s">
        <v>58</v>
      </c>
      <c r="C265" s="2" t="s">
        <v>9</v>
      </c>
      <c r="D265" s="2" cm="1">
        <f t="array" ref="D26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65" s="2">
        <v>4</v>
      </c>
      <c r="F265" s="2">
        <v>130</v>
      </c>
      <c r="G265" s="2" t="str" cm="1">
        <f t="array" ref="G26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65" s="2">
        <v>1500</v>
      </c>
      <c r="I265" s="3">
        <f>TabelaFretes[[#This Row],[Valor]]/TabelaFretes[[#This Row],[Quilometragem]]</f>
        <v>11.538461538461538</v>
      </c>
      <c r="J265" s="3">
        <f>TabelaFretes[[#This Row],[Valor]]/TabelaFretes[[#This Row],[Capacidade]]</f>
        <v>78.94736842105263</v>
      </c>
    </row>
    <row r="266" spans="1:10" x14ac:dyDescent="0.3">
      <c r="A266" s="2" t="s">
        <v>54</v>
      </c>
      <c r="B266" s="2" t="s">
        <v>58</v>
      </c>
      <c r="C266" s="2" t="s">
        <v>6</v>
      </c>
      <c r="D266" s="2" cm="1">
        <f t="array" ref="D26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66" s="2">
        <v>5</v>
      </c>
      <c r="F266" s="2">
        <v>130</v>
      </c>
      <c r="G266" s="2" t="str" cm="1">
        <f t="array" ref="G26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66" s="2">
        <v>2000</v>
      </c>
      <c r="I266" s="3">
        <f>TabelaFretes[[#This Row],[Valor]]/TabelaFretes[[#This Row],[Quilometragem]]</f>
        <v>15.384615384615385</v>
      </c>
      <c r="J266" s="3">
        <f>TabelaFretes[[#This Row],[Valor]]/TabelaFretes[[#This Row],[Capacidade]]</f>
        <v>74.074074074074076</v>
      </c>
    </row>
    <row r="267" spans="1:10" x14ac:dyDescent="0.3">
      <c r="A267" s="2" t="s">
        <v>54</v>
      </c>
      <c r="B267" s="2" t="s">
        <v>59</v>
      </c>
      <c r="C267" s="2" t="s">
        <v>7</v>
      </c>
      <c r="D267" s="2" cm="1">
        <f t="array" ref="D26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67" s="2">
        <v>3</v>
      </c>
      <c r="F267" s="2">
        <v>398</v>
      </c>
      <c r="G267" s="2" t="str" cm="1">
        <f t="array" ref="G26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67" s="2">
        <v>2300</v>
      </c>
      <c r="I267" s="3">
        <f>TabelaFretes[[#This Row],[Valor]]/TabelaFretes[[#This Row],[Quilometragem]]</f>
        <v>5.7788944723618094</v>
      </c>
      <c r="J267" s="3">
        <f>TabelaFretes[[#This Row],[Valor]]/TabelaFretes[[#This Row],[Capacidade]]</f>
        <v>164.28571428571428</v>
      </c>
    </row>
    <row r="268" spans="1:10" x14ac:dyDescent="0.3">
      <c r="A268" s="2" t="s">
        <v>54</v>
      </c>
      <c r="B268" s="2" t="s">
        <v>59</v>
      </c>
      <c r="C268" s="2" t="s">
        <v>9</v>
      </c>
      <c r="D268" s="2" cm="1">
        <f t="array" ref="D26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68" s="2">
        <v>4</v>
      </c>
      <c r="F268" s="2">
        <v>398</v>
      </c>
      <c r="G268" s="2" t="str" cm="1">
        <f t="array" ref="G26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68" s="2">
        <v>3000</v>
      </c>
      <c r="I268" s="3">
        <f>TabelaFretes[[#This Row],[Valor]]/TabelaFretes[[#This Row],[Quilometragem]]</f>
        <v>7.5376884422110555</v>
      </c>
      <c r="J268" s="3">
        <f>TabelaFretes[[#This Row],[Valor]]/TabelaFretes[[#This Row],[Capacidade]]</f>
        <v>157.89473684210526</v>
      </c>
    </row>
    <row r="269" spans="1:10" x14ac:dyDescent="0.3">
      <c r="A269" s="2" t="s">
        <v>54</v>
      </c>
      <c r="B269" s="2" t="s">
        <v>60</v>
      </c>
      <c r="C269" s="2" t="s">
        <v>7</v>
      </c>
      <c r="D269" s="2" cm="1">
        <f t="array" ref="D26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69" s="2">
        <v>3</v>
      </c>
      <c r="F269" s="2">
        <v>478</v>
      </c>
      <c r="G269" s="2" t="str" cm="1">
        <f t="array" ref="G26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69" s="2">
        <v>2600</v>
      </c>
      <c r="I269" s="3">
        <f>TabelaFretes[[#This Row],[Valor]]/TabelaFretes[[#This Row],[Quilometragem]]</f>
        <v>5.4393305439330542</v>
      </c>
      <c r="J269" s="3">
        <f>TabelaFretes[[#This Row],[Valor]]/TabelaFretes[[#This Row],[Capacidade]]</f>
        <v>185.71428571428572</v>
      </c>
    </row>
    <row r="270" spans="1:10" x14ac:dyDescent="0.3">
      <c r="A270" s="2" t="s">
        <v>54</v>
      </c>
      <c r="B270" s="2" t="s">
        <v>61</v>
      </c>
      <c r="C270" s="2" t="s">
        <v>7</v>
      </c>
      <c r="D270" s="2" cm="1">
        <f t="array" ref="D27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70" s="2">
        <v>3</v>
      </c>
      <c r="F270" s="2">
        <v>480</v>
      </c>
      <c r="G270" s="2" t="str" cm="1">
        <f t="array" ref="G27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70" s="2">
        <v>2600</v>
      </c>
      <c r="I270" s="3">
        <f>TabelaFretes[[#This Row],[Valor]]/TabelaFretes[[#This Row],[Quilometragem]]</f>
        <v>5.416666666666667</v>
      </c>
      <c r="J270" s="3">
        <f>TabelaFretes[[#This Row],[Valor]]/TabelaFretes[[#This Row],[Capacidade]]</f>
        <v>185.71428571428572</v>
      </c>
    </row>
    <row r="271" spans="1:10" x14ac:dyDescent="0.3">
      <c r="A271" s="2" t="s">
        <v>54</v>
      </c>
      <c r="B271" s="2" t="s">
        <v>62</v>
      </c>
      <c r="C271" s="2" t="s">
        <v>7</v>
      </c>
      <c r="D271" s="2" cm="1">
        <f t="array" ref="D27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71" s="2">
        <v>3</v>
      </c>
      <c r="F271" s="2">
        <v>516</v>
      </c>
      <c r="G271" s="2" t="str" cm="1">
        <f t="array" ref="G27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71" s="2">
        <v>2500</v>
      </c>
      <c r="I271" s="3">
        <f>TabelaFretes[[#This Row],[Valor]]/TabelaFretes[[#This Row],[Quilometragem]]</f>
        <v>4.8449612403100772</v>
      </c>
      <c r="J271" s="3">
        <f>TabelaFretes[[#This Row],[Valor]]/TabelaFretes[[#This Row],[Capacidade]]</f>
        <v>178.57142857142858</v>
      </c>
    </row>
    <row r="272" spans="1:10" x14ac:dyDescent="0.3">
      <c r="A272" s="2" t="s">
        <v>54</v>
      </c>
      <c r="B272" s="2" t="s">
        <v>63</v>
      </c>
      <c r="C272" s="2" t="s">
        <v>7</v>
      </c>
      <c r="D272" s="2" cm="1">
        <f t="array" ref="D27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72" s="2">
        <v>3</v>
      </c>
      <c r="F272" s="2">
        <v>228</v>
      </c>
      <c r="G272" s="2" t="str" cm="1">
        <f t="array" ref="G27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72" s="2">
        <v>1900</v>
      </c>
      <c r="I272" s="3">
        <f>TabelaFretes[[#This Row],[Valor]]/TabelaFretes[[#This Row],[Quilometragem]]</f>
        <v>8.3333333333333339</v>
      </c>
      <c r="J272" s="3">
        <f>TabelaFretes[[#This Row],[Valor]]/TabelaFretes[[#This Row],[Capacidade]]</f>
        <v>135.71428571428572</v>
      </c>
    </row>
    <row r="273" spans="1:10" x14ac:dyDescent="0.3">
      <c r="A273" s="2" t="s">
        <v>54</v>
      </c>
      <c r="B273" s="2" t="s">
        <v>64</v>
      </c>
      <c r="C273" s="2" t="s">
        <v>7</v>
      </c>
      <c r="D273" s="2" cm="1">
        <f t="array" ref="D27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73" s="2">
        <v>3</v>
      </c>
      <c r="F273" s="2">
        <v>525</v>
      </c>
      <c r="G273" s="2" t="str" cm="1">
        <f t="array" ref="G27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73" s="2">
        <v>2700</v>
      </c>
      <c r="I273" s="3">
        <f>TabelaFretes[[#This Row],[Valor]]/TabelaFretes[[#This Row],[Quilometragem]]</f>
        <v>5.1428571428571432</v>
      </c>
      <c r="J273" s="3">
        <f>TabelaFretes[[#This Row],[Valor]]/TabelaFretes[[#This Row],[Capacidade]]</f>
        <v>192.85714285714286</v>
      </c>
    </row>
    <row r="274" spans="1:10" x14ac:dyDescent="0.3">
      <c r="A274" s="2" t="s">
        <v>54</v>
      </c>
      <c r="B274" s="2" t="s">
        <v>64</v>
      </c>
      <c r="C274" s="2" t="s">
        <v>9</v>
      </c>
      <c r="D274" s="2" cm="1">
        <f t="array" ref="D27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74" s="2">
        <v>4</v>
      </c>
      <c r="F274" s="2">
        <v>525</v>
      </c>
      <c r="G274" s="2" t="str" cm="1">
        <f t="array" ref="G27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74" s="2">
        <v>3500</v>
      </c>
      <c r="I274" s="3">
        <f>TabelaFretes[[#This Row],[Valor]]/TabelaFretes[[#This Row],[Quilometragem]]</f>
        <v>6.666666666666667</v>
      </c>
      <c r="J274" s="3">
        <f>TabelaFretes[[#This Row],[Valor]]/TabelaFretes[[#This Row],[Capacidade]]</f>
        <v>184.21052631578948</v>
      </c>
    </row>
    <row r="275" spans="1:10" x14ac:dyDescent="0.3">
      <c r="A275" s="2" t="s">
        <v>65</v>
      </c>
      <c r="B275" s="2" t="s">
        <v>66</v>
      </c>
      <c r="C275" s="2" t="s">
        <v>7</v>
      </c>
      <c r="D275" s="2" cm="1">
        <f t="array" ref="D27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75" s="2">
        <v>3</v>
      </c>
      <c r="F275" s="2">
        <v>341</v>
      </c>
      <c r="G275" s="2" t="str" cm="1">
        <f t="array" ref="G27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75" s="2">
        <v>520</v>
      </c>
      <c r="I275" s="3">
        <f>TabelaFretes[[#This Row],[Valor]]/TabelaFretes[[#This Row],[Quilometragem]]</f>
        <v>1.5249266862170088</v>
      </c>
      <c r="J275" s="3">
        <f>TabelaFretes[[#This Row],[Valor]]/TabelaFretes[[#This Row],[Capacidade]]</f>
        <v>37.142857142857146</v>
      </c>
    </row>
    <row r="276" spans="1:10" x14ac:dyDescent="0.3">
      <c r="A276" s="2" t="s">
        <v>65</v>
      </c>
      <c r="B276" s="2" t="s">
        <v>66</v>
      </c>
      <c r="C276" s="2" t="s">
        <v>6</v>
      </c>
      <c r="D276" s="2" cm="1">
        <f t="array" ref="D27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76" s="2">
        <v>5</v>
      </c>
      <c r="F276" s="2">
        <v>341</v>
      </c>
      <c r="G276" s="2" t="str" cm="1">
        <f t="array" ref="G27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76" s="2">
        <v>800</v>
      </c>
      <c r="I276" s="3">
        <f>TabelaFretes[[#This Row],[Valor]]/TabelaFretes[[#This Row],[Quilometragem]]</f>
        <v>2.3460410557184752</v>
      </c>
      <c r="J276" s="3">
        <f>TabelaFretes[[#This Row],[Valor]]/TabelaFretes[[#This Row],[Capacidade]]</f>
        <v>29.62962962962963</v>
      </c>
    </row>
    <row r="277" spans="1:10" x14ac:dyDescent="0.3">
      <c r="A277" s="2" t="s">
        <v>65</v>
      </c>
      <c r="B277" s="2" t="s">
        <v>67</v>
      </c>
      <c r="C277" s="2" t="s">
        <v>7</v>
      </c>
      <c r="D277" s="2" cm="1">
        <f t="array" ref="D27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77" s="2">
        <v>3</v>
      </c>
      <c r="F277" s="2">
        <v>384</v>
      </c>
      <c r="G277" s="2" t="str" cm="1">
        <f t="array" ref="G27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77" s="2">
        <v>2200</v>
      </c>
      <c r="I277" s="3">
        <f>TabelaFretes[[#This Row],[Valor]]/TabelaFretes[[#This Row],[Quilometragem]]</f>
        <v>5.729166666666667</v>
      </c>
      <c r="J277" s="3">
        <f>TabelaFretes[[#This Row],[Valor]]/TabelaFretes[[#This Row],[Capacidade]]</f>
        <v>157.14285714285714</v>
      </c>
    </row>
    <row r="278" spans="1:10" x14ac:dyDescent="0.3">
      <c r="A278" s="2" t="s">
        <v>65</v>
      </c>
      <c r="B278" s="2" t="s">
        <v>68</v>
      </c>
      <c r="C278" s="2" t="s">
        <v>7</v>
      </c>
      <c r="D278" s="2" cm="1">
        <f t="array" ref="D27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78" s="2">
        <v>3</v>
      </c>
      <c r="F278" s="2">
        <v>262</v>
      </c>
      <c r="G278" s="2" t="str" cm="1">
        <f t="array" ref="G27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78" s="2">
        <v>2000</v>
      </c>
      <c r="I278" s="3">
        <f>TabelaFretes[[#This Row],[Valor]]/TabelaFretes[[#This Row],[Quilometragem]]</f>
        <v>7.6335877862595423</v>
      </c>
      <c r="J278" s="3">
        <f>TabelaFretes[[#This Row],[Valor]]/TabelaFretes[[#This Row],[Capacidade]]</f>
        <v>142.85714285714286</v>
      </c>
    </row>
    <row r="279" spans="1:10" x14ac:dyDescent="0.3">
      <c r="A279" s="2" t="s">
        <v>65</v>
      </c>
      <c r="B279" s="2" t="s">
        <v>69</v>
      </c>
      <c r="C279" s="2" t="s">
        <v>7</v>
      </c>
      <c r="D279" s="2" cm="1">
        <f t="array" ref="D27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79" s="2">
        <v>3</v>
      </c>
      <c r="F279" s="2">
        <v>191</v>
      </c>
      <c r="G279" s="2" t="str" cm="1">
        <f t="array" ref="G27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79" s="2">
        <v>1500</v>
      </c>
      <c r="I279" s="3">
        <f>TabelaFretes[[#This Row],[Valor]]/TabelaFretes[[#This Row],[Quilometragem]]</f>
        <v>7.8534031413612562</v>
      </c>
      <c r="J279" s="3">
        <f>TabelaFretes[[#This Row],[Valor]]/TabelaFretes[[#This Row],[Capacidade]]</f>
        <v>107.14285714285714</v>
      </c>
    </row>
    <row r="280" spans="1:10" x14ac:dyDescent="0.3">
      <c r="A280" s="2" t="s">
        <v>65</v>
      </c>
      <c r="B280" s="2" t="s">
        <v>70</v>
      </c>
      <c r="C280" s="2" t="s">
        <v>7</v>
      </c>
      <c r="D280" s="2" cm="1">
        <f t="array" ref="D28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80" s="2">
        <v>3</v>
      </c>
      <c r="F280" s="2">
        <v>111</v>
      </c>
      <c r="G280" s="2" t="str" cm="1">
        <f t="array" ref="G28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80" s="2">
        <v>1300</v>
      </c>
      <c r="I280" s="3">
        <f>TabelaFretes[[#This Row],[Valor]]/TabelaFretes[[#This Row],[Quilometragem]]</f>
        <v>11.711711711711711</v>
      </c>
      <c r="J280" s="3">
        <f>TabelaFretes[[#This Row],[Valor]]/TabelaFretes[[#This Row],[Capacidade]]</f>
        <v>92.857142857142861</v>
      </c>
    </row>
    <row r="281" spans="1:10" x14ac:dyDescent="0.3">
      <c r="A281" s="2" t="s">
        <v>65</v>
      </c>
      <c r="B281" s="2" t="s">
        <v>71</v>
      </c>
      <c r="C281" s="2" t="s">
        <v>7</v>
      </c>
      <c r="D281" s="2" cm="1">
        <f t="array" ref="D28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81" s="2">
        <v>3</v>
      </c>
      <c r="F281" s="2">
        <v>107</v>
      </c>
      <c r="G281" s="2" t="str" cm="1">
        <f t="array" ref="G28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81" s="2">
        <v>1100</v>
      </c>
      <c r="I281" s="3">
        <f>TabelaFretes[[#This Row],[Valor]]/TabelaFretes[[#This Row],[Quilometragem]]</f>
        <v>10.280373831775702</v>
      </c>
      <c r="J281" s="3">
        <f>TabelaFretes[[#This Row],[Valor]]/TabelaFretes[[#This Row],[Capacidade]]</f>
        <v>78.571428571428569</v>
      </c>
    </row>
    <row r="282" spans="1:10" x14ac:dyDescent="0.3">
      <c r="A282" s="2" t="s">
        <v>65</v>
      </c>
      <c r="B282" s="2" t="s">
        <v>72</v>
      </c>
      <c r="C282" s="2" t="s">
        <v>7</v>
      </c>
      <c r="D282" s="2" cm="1">
        <f t="array" ref="D28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82" s="2">
        <v>3</v>
      </c>
      <c r="F282" s="2">
        <v>208</v>
      </c>
      <c r="G282" s="2" t="str" cm="1">
        <f t="array" ref="G28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82" s="2">
        <v>1500</v>
      </c>
      <c r="I282" s="3">
        <f>TabelaFretes[[#This Row],[Valor]]/TabelaFretes[[#This Row],[Quilometragem]]</f>
        <v>7.2115384615384617</v>
      </c>
      <c r="J282" s="3">
        <f>TabelaFretes[[#This Row],[Valor]]/TabelaFretes[[#This Row],[Capacidade]]</f>
        <v>107.14285714285714</v>
      </c>
    </row>
    <row r="283" spans="1:10" x14ac:dyDescent="0.3">
      <c r="A283" s="2" t="s">
        <v>65</v>
      </c>
      <c r="B283" s="2" t="s">
        <v>73</v>
      </c>
      <c r="C283" s="2" t="s">
        <v>7</v>
      </c>
      <c r="D283" s="2" cm="1">
        <f t="array" ref="D28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83" s="2">
        <v>3</v>
      </c>
      <c r="F283" s="2">
        <v>21</v>
      </c>
      <c r="G283" s="2" t="str" cm="1">
        <f t="array" ref="G28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83" s="2">
        <v>400</v>
      </c>
      <c r="I283" s="3">
        <f>TabelaFretes[[#This Row],[Valor]]/TabelaFretes[[#This Row],[Quilometragem]]</f>
        <v>19.047619047619047</v>
      </c>
      <c r="J283" s="3">
        <f>TabelaFretes[[#This Row],[Valor]]/TabelaFretes[[#This Row],[Capacidade]]</f>
        <v>28.571428571428573</v>
      </c>
    </row>
    <row r="284" spans="1:10" x14ac:dyDescent="0.3">
      <c r="A284" s="2" t="s">
        <v>65</v>
      </c>
      <c r="B284" s="2" t="s">
        <v>73</v>
      </c>
      <c r="C284" s="2" t="s">
        <v>6</v>
      </c>
      <c r="D284" s="2" cm="1">
        <f t="array" ref="D28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84" s="2">
        <v>5</v>
      </c>
      <c r="F284" s="2">
        <v>21</v>
      </c>
      <c r="G284" s="2" t="str" cm="1">
        <f t="array" ref="G28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84" s="2">
        <v>750</v>
      </c>
      <c r="I284" s="3">
        <f>TabelaFretes[[#This Row],[Valor]]/TabelaFretes[[#This Row],[Quilometragem]]</f>
        <v>35.714285714285715</v>
      </c>
      <c r="J284" s="3">
        <f>TabelaFretes[[#This Row],[Valor]]/TabelaFretes[[#This Row],[Capacidade]]</f>
        <v>27.777777777777779</v>
      </c>
    </row>
    <row r="285" spans="1:10" x14ac:dyDescent="0.3">
      <c r="A285" s="2" t="s">
        <v>65</v>
      </c>
      <c r="B285" s="2" t="s">
        <v>74</v>
      </c>
      <c r="C285" s="2" t="s">
        <v>7</v>
      </c>
      <c r="D285" s="2" cm="1">
        <f t="array" ref="D28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85" s="2">
        <v>3</v>
      </c>
      <c r="F285" s="2">
        <v>178</v>
      </c>
      <c r="G285" s="2" t="str" cm="1">
        <f t="array" ref="G28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85" s="2">
        <v>1600</v>
      </c>
      <c r="I285" s="3">
        <f>TabelaFretes[[#This Row],[Valor]]/TabelaFretes[[#This Row],[Quilometragem]]</f>
        <v>8.9887640449438209</v>
      </c>
      <c r="J285" s="3">
        <f>TabelaFretes[[#This Row],[Valor]]/TabelaFretes[[#This Row],[Capacidade]]</f>
        <v>114.28571428571429</v>
      </c>
    </row>
    <row r="286" spans="1:10" x14ac:dyDescent="0.3">
      <c r="A286" s="2" t="s">
        <v>65</v>
      </c>
      <c r="B286" s="2" t="s">
        <v>75</v>
      </c>
      <c r="C286" s="2" t="s">
        <v>7</v>
      </c>
      <c r="D286" s="2" cm="1">
        <f t="array" ref="D28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86" s="2">
        <v>3</v>
      </c>
      <c r="F286" s="2">
        <v>192</v>
      </c>
      <c r="G286" s="2" t="str" cm="1">
        <f t="array" ref="G28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86" s="2">
        <v>2000</v>
      </c>
      <c r="I286" s="3">
        <f>TabelaFretes[[#This Row],[Valor]]/TabelaFretes[[#This Row],[Quilometragem]]</f>
        <v>10.416666666666666</v>
      </c>
      <c r="J286" s="3">
        <f>TabelaFretes[[#This Row],[Valor]]/TabelaFretes[[#This Row],[Capacidade]]</f>
        <v>142.85714285714286</v>
      </c>
    </row>
    <row r="287" spans="1:10" x14ac:dyDescent="0.3">
      <c r="A287" s="2" t="s">
        <v>65</v>
      </c>
      <c r="B287" s="2" t="s">
        <v>75</v>
      </c>
      <c r="C287" s="2" t="s">
        <v>6</v>
      </c>
      <c r="D287" s="2" cm="1">
        <f t="array" ref="D28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87" s="2">
        <v>5</v>
      </c>
      <c r="F287" s="2">
        <v>192</v>
      </c>
      <c r="G287" s="2" t="str" cm="1">
        <f t="array" ref="G28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87" s="2">
        <v>3300</v>
      </c>
      <c r="I287" s="3">
        <f>TabelaFretes[[#This Row],[Valor]]/TabelaFretes[[#This Row],[Quilometragem]]</f>
        <v>17.1875</v>
      </c>
      <c r="J287" s="3">
        <f>TabelaFretes[[#This Row],[Valor]]/TabelaFretes[[#This Row],[Capacidade]]</f>
        <v>122.22222222222223</v>
      </c>
    </row>
    <row r="288" spans="1:10" x14ac:dyDescent="0.3">
      <c r="A288" s="2" t="s">
        <v>65</v>
      </c>
      <c r="B288" s="2" t="s">
        <v>76</v>
      </c>
      <c r="C288" s="2" t="s">
        <v>7</v>
      </c>
      <c r="D288" s="2" cm="1">
        <f t="array" ref="D28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88" s="2">
        <v>3</v>
      </c>
      <c r="F288" s="2">
        <v>406</v>
      </c>
      <c r="G288" s="2" t="str" cm="1">
        <f t="array" ref="G28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88" s="2">
        <v>2200</v>
      </c>
      <c r="I288" s="3">
        <f>TabelaFretes[[#This Row],[Valor]]/TabelaFretes[[#This Row],[Quilometragem]]</f>
        <v>5.4187192118226601</v>
      </c>
      <c r="J288" s="3">
        <f>TabelaFretes[[#This Row],[Valor]]/TabelaFretes[[#This Row],[Capacidade]]</f>
        <v>157.14285714285714</v>
      </c>
    </row>
    <row r="289" spans="1:10" x14ac:dyDescent="0.3">
      <c r="A289" s="2" t="s">
        <v>65</v>
      </c>
      <c r="B289" s="2" t="s">
        <v>77</v>
      </c>
      <c r="C289" s="2" t="s">
        <v>7</v>
      </c>
      <c r="D289" s="2" cm="1">
        <f t="array" ref="D28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89" s="2">
        <v>3</v>
      </c>
      <c r="F289" s="2">
        <v>634</v>
      </c>
      <c r="G289" s="2" t="str" cm="1">
        <f t="array" ref="G28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89" s="2">
        <v>970</v>
      </c>
      <c r="I289" s="3">
        <f>TabelaFretes[[#This Row],[Valor]]/TabelaFretes[[#This Row],[Quilometragem]]</f>
        <v>1.5299684542586751</v>
      </c>
      <c r="J289" s="3">
        <f>TabelaFretes[[#This Row],[Valor]]/TabelaFretes[[#This Row],[Capacidade]]</f>
        <v>69.285714285714292</v>
      </c>
    </row>
    <row r="290" spans="1:10" x14ac:dyDescent="0.3">
      <c r="A290" s="2" t="s">
        <v>65</v>
      </c>
      <c r="B290" s="2" t="s">
        <v>77</v>
      </c>
      <c r="C290" s="2" t="s">
        <v>9</v>
      </c>
      <c r="D290" s="2" cm="1">
        <f t="array" ref="D29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90" s="2">
        <v>4</v>
      </c>
      <c r="F290" s="2">
        <v>63</v>
      </c>
      <c r="G290" s="2" t="str" cm="1">
        <f t="array" ref="G29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90" s="2">
        <v>1000</v>
      </c>
      <c r="I290" s="3">
        <f>TabelaFretes[[#This Row],[Valor]]/TabelaFretes[[#This Row],[Quilometragem]]</f>
        <v>15.873015873015873</v>
      </c>
      <c r="J290" s="3">
        <f>TabelaFretes[[#This Row],[Valor]]/TabelaFretes[[#This Row],[Capacidade]]</f>
        <v>52.631578947368418</v>
      </c>
    </row>
    <row r="291" spans="1:10" x14ac:dyDescent="0.3">
      <c r="A291" s="2" t="s">
        <v>65</v>
      </c>
      <c r="B291" s="2" t="s">
        <v>77</v>
      </c>
      <c r="C291" s="2" t="s">
        <v>6</v>
      </c>
      <c r="D291" s="2" cm="1">
        <f t="array" ref="D29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91" s="2">
        <v>5</v>
      </c>
      <c r="F291" s="2">
        <v>63</v>
      </c>
      <c r="G291" s="2" t="str" cm="1">
        <f t="array" ref="G29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91" s="2">
        <v>1100</v>
      </c>
      <c r="I291" s="3">
        <f>TabelaFretes[[#This Row],[Valor]]/TabelaFretes[[#This Row],[Quilometragem]]</f>
        <v>17.460317460317459</v>
      </c>
      <c r="J291" s="3">
        <f>TabelaFretes[[#This Row],[Valor]]/TabelaFretes[[#This Row],[Capacidade]]</f>
        <v>40.74074074074074</v>
      </c>
    </row>
    <row r="292" spans="1:10" x14ac:dyDescent="0.3">
      <c r="A292" s="2" t="s">
        <v>65</v>
      </c>
      <c r="B292" s="2" t="s">
        <v>78</v>
      </c>
      <c r="C292" s="2" t="s">
        <v>7</v>
      </c>
      <c r="D292" s="2" cm="1">
        <f t="array" ref="D29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92" s="2">
        <v>3</v>
      </c>
      <c r="F292" s="2">
        <v>172</v>
      </c>
      <c r="G292" s="2" t="str" cm="1">
        <f t="array" ref="G29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92" s="2">
        <v>1300</v>
      </c>
      <c r="I292" s="3">
        <f>TabelaFretes[[#This Row],[Valor]]/TabelaFretes[[#This Row],[Quilometragem]]</f>
        <v>7.558139534883721</v>
      </c>
      <c r="J292" s="3">
        <f>TabelaFretes[[#This Row],[Valor]]/TabelaFretes[[#This Row],[Capacidade]]</f>
        <v>92.857142857142861</v>
      </c>
    </row>
    <row r="293" spans="1:10" x14ac:dyDescent="0.3">
      <c r="A293" s="2" t="s">
        <v>65</v>
      </c>
      <c r="B293" s="2" t="s">
        <v>79</v>
      </c>
      <c r="C293" s="2" t="s">
        <v>7</v>
      </c>
      <c r="D293" s="2" cm="1">
        <f t="array" ref="D29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93" s="2">
        <v>3</v>
      </c>
      <c r="F293" s="2">
        <v>177</v>
      </c>
      <c r="G293" s="2" t="str" cm="1">
        <f t="array" ref="G29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93" s="2">
        <v>1600</v>
      </c>
      <c r="I293" s="3">
        <f>TabelaFretes[[#This Row],[Valor]]/TabelaFretes[[#This Row],[Quilometragem]]</f>
        <v>9.0395480225988702</v>
      </c>
      <c r="J293" s="3">
        <f>TabelaFretes[[#This Row],[Valor]]/TabelaFretes[[#This Row],[Capacidade]]</f>
        <v>114.28571428571429</v>
      </c>
    </row>
    <row r="294" spans="1:10" x14ac:dyDescent="0.3">
      <c r="A294" s="2" t="s">
        <v>65</v>
      </c>
      <c r="B294" s="2" t="s">
        <v>80</v>
      </c>
      <c r="C294" s="2" t="s">
        <v>7</v>
      </c>
      <c r="D294" s="2" cm="1">
        <f t="array" ref="D29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94" s="2">
        <v>3</v>
      </c>
      <c r="F294" s="2">
        <v>341</v>
      </c>
      <c r="G294" s="2" t="str" cm="1">
        <f t="array" ref="G29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94" s="2">
        <v>1800</v>
      </c>
      <c r="I294" s="3">
        <f>TabelaFretes[[#This Row],[Valor]]/TabelaFretes[[#This Row],[Quilometragem]]</f>
        <v>5.2785923753665687</v>
      </c>
      <c r="J294" s="3">
        <f>TabelaFretes[[#This Row],[Valor]]/TabelaFretes[[#This Row],[Capacidade]]</f>
        <v>128.57142857142858</v>
      </c>
    </row>
    <row r="295" spans="1:10" x14ac:dyDescent="0.3">
      <c r="A295" s="2" t="s">
        <v>65</v>
      </c>
      <c r="B295" s="2" t="s">
        <v>81</v>
      </c>
      <c r="C295" s="2" t="s">
        <v>7</v>
      </c>
      <c r="D295" s="2" cm="1">
        <f t="array" ref="D29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95" s="2">
        <v>3</v>
      </c>
      <c r="F295" s="2">
        <v>483</v>
      </c>
      <c r="G295" s="2" t="str" cm="1">
        <f t="array" ref="G29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95" s="2">
        <v>800</v>
      </c>
      <c r="I295" s="3">
        <f>TabelaFretes[[#This Row],[Valor]]/TabelaFretes[[#This Row],[Quilometragem]]</f>
        <v>1.6563146997929608</v>
      </c>
      <c r="J295" s="3">
        <f>TabelaFretes[[#This Row],[Valor]]/TabelaFretes[[#This Row],[Capacidade]]</f>
        <v>57.142857142857146</v>
      </c>
    </row>
    <row r="296" spans="1:10" x14ac:dyDescent="0.3">
      <c r="A296" s="2" t="s">
        <v>65</v>
      </c>
      <c r="B296" s="2" t="s">
        <v>81</v>
      </c>
      <c r="C296" s="2" t="s">
        <v>9</v>
      </c>
      <c r="D296" s="2" cm="1">
        <f t="array" ref="D29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296" s="2">
        <v>4</v>
      </c>
      <c r="F296" s="2">
        <v>483</v>
      </c>
      <c r="G296" s="2" t="str" cm="1">
        <f t="array" ref="G29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96" s="2">
        <v>950</v>
      </c>
      <c r="I296" s="3">
        <f>TabelaFretes[[#This Row],[Valor]]/TabelaFretes[[#This Row],[Quilometragem]]</f>
        <v>1.9668737060041408</v>
      </c>
      <c r="J296" s="3">
        <f>TabelaFretes[[#This Row],[Valor]]/TabelaFretes[[#This Row],[Capacidade]]</f>
        <v>50</v>
      </c>
    </row>
    <row r="297" spans="1:10" x14ac:dyDescent="0.3">
      <c r="A297" s="2" t="s">
        <v>65</v>
      </c>
      <c r="B297" s="2" t="s">
        <v>81</v>
      </c>
      <c r="C297" s="2" t="s">
        <v>6</v>
      </c>
      <c r="D297" s="2" cm="1">
        <f t="array" ref="D29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297" s="2">
        <v>5</v>
      </c>
      <c r="F297" s="2">
        <v>483</v>
      </c>
      <c r="G297" s="2" t="str" cm="1">
        <f t="array" ref="G29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97" s="2">
        <v>1200</v>
      </c>
      <c r="I297" s="3">
        <f>TabelaFretes[[#This Row],[Valor]]/TabelaFretes[[#This Row],[Quilometragem]]</f>
        <v>2.4844720496894408</v>
      </c>
      <c r="J297" s="3">
        <f>TabelaFretes[[#This Row],[Valor]]/TabelaFretes[[#This Row],[Capacidade]]</f>
        <v>44.444444444444443</v>
      </c>
    </row>
    <row r="298" spans="1:10" x14ac:dyDescent="0.3">
      <c r="A298" s="2" t="s">
        <v>65</v>
      </c>
      <c r="B298" s="2" t="s">
        <v>82</v>
      </c>
      <c r="C298" s="2" t="s">
        <v>7</v>
      </c>
      <c r="D298" s="2" cm="1">
        <f t="array" ref="D29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98" s="2">
        <v>3</v>
      </c>
      <c r="F298" s="2">
        <v>392</v>
      </c>
      <c r="G298" s="2" t="str" cm="1">
        <f t="array" ref="G29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298" s="2">
        <v>2200</v>
      </c>
      <c r="I298" s="3">
        <f>TabelaFretes[[#This Row],[Valor]]/TabelaFretes[[#This Row],[Quilometragem]]</f>
        <v>5.6122448979591839</v>
      </c>
      <c r="J298" s="3">
        <f>TabelaFretes[[#This Row],[Valor]]/TabelaFretes[[#This Row],[Capacidade]]</f>
        <v>157.14285714285714</v>
      </c>
    </row>
    <row r="299" spans="1:10" x14ac:dyDescent="0.3">
      <c r="A299" s="2" t="s">
        <v>65</v>
      </c>
      <c r="B299" s="2" t="s">
        <v>83</v>
      </c>
      <c r="C299" s="2" t="s">
        <v>7</v>
      </c>
      <c r="D299" s="2" cm="1">
        <f t="array" ref="D29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299" s="2">
        <v>3</v>
      </c>
      <c r="F299" s="2">
        <v>237</v>
      </c>
      <c r="G299" s="2" t="str" cm="1">
        <f t="array" ref="G29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299" s="2">
        <v>1700</v>
      </c>
      <c r="I299" s="3">
        <f>TabelaFretes[[#This Row],[Valor]]/TabelaFretes[[#This Row],[Quilometragem]]</f>
        <v>7.1729957805907176</v>
      </c>
      <c r="J299" s="3">
        <f>TabelaFretes[[#This Row],[Valor]]/TabelaFretes[[#This Row],[Capacidade]]</f>
        <v>121.42857142857143</v>
      </c>
    </row>
    <row r="300" spans="1:10" x14ac:dyDescent="0.3">
      <c r="A300" s="2" t="s">
        <v>65</v>
      </c>
      <c r="B300" s="2" t="s">
        <v>83</v>
      </c>
      <c r="C300" s="2" t="s">
        <v>9</v>
      </c>
      <c r="D300" s="2" cm="1">
        <f t="array" ref="D30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300" s="2">
        <v>4</v>
      </c>
      <c r="F300" s="2">
        <v>237</v>
      </c>
      <c r="G300" s="2" t="str" cm="1">
        <f t="array" ref="G30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00" s="2">
        <v>1825</v>
      </c>
      <c r="I300" s="3">
        <f>TabelaFretes[[#This Row],[Valor]]/TabelaFretes[[#This Row],[Quilometragem]]</f>
        <v>7.7004219409282699</v>
      </c>
      <c r="J300" s="3">
        <f>TabelaFretes[[#This Row],[Valor]]/TabelaFretes[[#This Row],[Capacidade]]</f>
        <v>96.05263157894737</v>
      </c>
    </row>
    <row r="301" spans="1:10" x14ac:dyDescent="0.3">
      <c r="A301" s="2" t="s">
        <v>65</v>
      </c>
      <c r="B301" s="2" t="s">
        <v>83</v>
      </c>
      <c r="C301" s="2" t="s">
        <v>6</v>
      </c>
      <c r="D301" s="2" cm="1">
        <f t="array" ref="D30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01" s="2">
        <v>5</v>
      </c>
      <c r="F301" s="2">
        <v>237</v>
      </c>
      <c r="G301" s="2" t="str" cm="1">
        <f t="array" ref="G30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01" s="2">
        <v>2025</v>
      </c>
      <c r="I301" s="3">
        <f>TabelaFretes[[#This Row],[Valor]]/TabelaFretes[[#This Row],[Quilometragem]]</f>
        <v>8.5443037974683538</v>
      </c>
      <c r="J301" s="3">
        <f>TabelaFretes[[#This Row],[Valor]]/TabelaFretes[[#This Row],[Capacidade]]</f>
        <v>75</v>
      </c>
    </row>
    <row r="302" spans="1:10" x14ac:dyDescent="0.3">
      <c r="A302" s="2" t="s">
        <v>65</v>
      </c>
      <c r="B302" s="2" t="s">
        <v>84</v>
      </c>
      <c r="C302" s="2" t="s">
        <v>7</v>
      </c>
      <c r="D302" s="2" cm="1">
        <f t="array" ref="D30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02" s="2">
        <v>3</v>
      </c>
      <c r="F302" s="2">
        <v>783</v>
      </c>
      <c r="G302" s="2" t="str" cm="1">
        <f t="array" ref="G30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02" s="2">
        <v>1000</v>
      </c>
      <c r="I302" s="3">
        <f>TabelaFretes[[#This Row],[Valor]]/TabelaFretes[[#This Row],[Quilometragem]]</f>
        <v>1.277139208173691</v>
      </c>
      <c r="J302" s="3">
        <f>TabelaFretes[[#This Row],[Valor]]/TabelaFretes[[#This Row],[Capacidade]]</f>
        <v>71.428571428571431</v>
      </c>
    </row>
    <row r="303" spans="1:10" x14ac:dyDescent="0.3">
      <c r="A303" s="2" t="s">
        <v>65</v>
      </c>
      <c r="B303" s="2" t="s">
        <v>84</v>
      </c>
      <c r="C303" s="2" t="s">
        <v>9</v>
      </c>
      <c r="D303" s="2" cm="1">
        <f t="array" ref="D30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303" s="2">
        <v>4</v>
      </c>
      <c r="F303" s="2">
        <v>783</v>
      </c>
      <c r="G303" s="2" t="str" cm="1">
        <f t="array" ref="G30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03" s="2">
        <v>1060</v>
      </c>
      <c r="I303" s="3">
        <f>TabelaFretes[[#This Row],[Valor]]/TabelaFretes[[#This Row],[Quilometragem]]</f>
        <v>1.3537675606641124</v>
      </c>
      <c r="J303" s="3">
        <f>TabelaFretes[[#This Row],[Valor]]/TabelaFretes[[#This Row],[Capacidade]]</f>
        <v>55.789473684210527</v>
      </c>
    </row>
    <row r="304" spans="1:10" x14ac:dyDescent="0.3">
      <c r="A304" s="2" t="s">
        <v>65</v>
      </c>
      <c r="B304" s="2" t="s">
        <v>85</v>
      </c>
      <c r="C304" s="2" t="s">
        <v>7</v>
      </c>
      <c r="D304" s="2" cm="1">
        <f t="array" ref="D30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04" s="2">
        <v>3</v>
      </c>
      <c r="F304" s="2">
        <v>907</v>
      </c>
      <c r="G304" s="2" t="str" cm="1">
        <f t="array" ref="G30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04" s="2">
        <v>1300</v>
      </c>
      <c r="I304" s="3">
        <f>TabelaFretes[[#This Row],[Valor]]/TabelaFretes[[#This Row],[Quilometragem]]</f>
        <v>1.4332965821389194</v>
      </c>
      <c r="J304" s="3">
        <f>TabelaFretes[[#This Row],[Valor]]/TabelaFretes[[#This Row],[Capacidade]]</f>
        <v>92.857142857142861</v>
      </c>
    </row>
    <row r="305" spans="1:10" x14ac:dyDescent="0.3">
      <c r="A305" s="2" t="s">
        <v>65</v>
      </c>
      <c r="B305" s="2" t="s">
        <v>86</v>
      </c>
      <c r="C305" s="2" t="s">
        <v>7</v>
      </c>
      <c r="D305" s="2" cm="1">
        <f t="array" ref="D30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05" s="2">
        <v>3</v>
      </c>
      <c r="F305" s="2">
        <v>407</v>
      </c>
      <c r="G305" s="2" t="str" cm="1">
        <f t="array" ref="G30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05" s="2">
        <v>520</v>
      </c>
      <c r="I305" s="3">
        <f>TabelaFretes[[#This Row],[Valor]]/TabelaFretes[[#This Row],[Quilometragem]]</f>
        <v>1.2776412776412776</v>
      </c>
      <c r="J305" s="3">
        <f>TabelaFretes[[#This Row],[Valor]]/TabelaFretes[[#This Row],[Capacidade]]</f>
        <v>37.142857142857146</v>
      </c>
    </row>
    <row r="306" spans="1:10" x14ac:dyDescent="0.3">
      <c r="A306" s="2" t="s">
        <v>65</v>
      </c>
      <c r="B306" s="2" t="s">
        <v>86</v>
      </c>
      <c r="C306" s="2" t="s">
        <v>6</v>
      </c>
      <c r="D306" s="2" cm="1">
        <f t="array" ref="D30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06" s="2">
        <v>5</v>
      </c>
      <c r="F306" s="2">
        <v>407</v>
      </c>
      <c r="G306" s="2" t="str" cm="1">
        <f t="array" ref="G30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06" s="2">
        <v>800</v>
      </c>
      <c r="I306" s="3">
        <f>TabelaFretes[[#This Row],[Valor]]/TabelaFretes[[#This Row],[Quilometragem]]</f>
        <v>1.9656019656019657</v>
      </c>
      <c r="J306" s="3">
        <f>TabelaFretes[[#This Row],[Valor]]/TabelaFretes[[#This Row],[Capacidade]]</f>
        <v>29.62962962962963</v>
      </c>
    </row>
    <row r="307" spans="1:10" x14ac:dyDescent="0.3">
      <c r="A307" s="2" t="s">
        <v>65</v>
      </c>
      <c r="B307" s="2" t="s">
        <v>87</v>
      </c>
      <c r="C307" s="2" t="s">
        <v>7</v>
      </c>
      <c r="D307" s="2" cm="1">
        <f t="array" ref="D30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07" s="2">
        <v>3</v>
      </c>
      <c r="F307" s="2">
        <v>103</v>
      </c>
      <c r="G307" s="2" t="str" cm="1">
        <f t="array" ref="G30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07" s="2">
        <v>1100</v>
      </c>
      <c r="I307" s="3">
        <f>TabelaFretes[[#This Row],[Valor]]/TabelaFretes[[#This Row],[Quilometragem]]</f>
        <v>10.679611650485437</v>
      </c>
      <c r="J307" s="3">
        <f>TabelaFretes[[#This Row],[Valor]]/TabelaFretes[[#This Row],[Capacidade]]</f>
        <v>78.571428571428569</v>
      </c>
    </row>
    <row r="308" spans="1:10" x14ac:dyDescent="0.3">
      <c r="A308" s="2" t="s">
        <v>65</v>
      </c>
      <c r="B308" s="2" t="s">
        <v>88</v>
      </c>
      <c r="C308" s="2" t="s">
        <v>7</v>
      </c>
      <c r="D308" s="2" cm="1">
        <f t="array" ref="D30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08" s="2">
        <v>3</v>
      </c>
      <c r="F308" s="2">
        <v>49</v>
      </c>
      <c r="G308" s="2" t="str" cm="1">
        <f t="array" ref="G30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08" s="2">
        <v>700</v>
      </c>
      <c r="I308" s="3">
        <f>TabelaFretes[[#This Row],[Valor]]/TabelaFretes[[#This Row],[Quilometragem]]</f>
        <v>14.285714285714286</v>
      </c>
      <c r="J308" s="3">
        <f>TabelaFretes[[#This Row],[Valor]]/TabelaFretes[[#This Row],[Capacidade]]</f>
        <v>50</v>
      </c>
    </row>
    <row r="309" spans="1:10" x14ac:dyDescent="0.3">
      <c r="A309" s="2" t="s">
        <v>65</v>
      </c>
      <c r="B309" s="2" t="s">
        <v>88</v>
      </c>
      <c r="C309" s="2" t="s">
        <v>6</v>
      </c>
      <c r="D309" s="2" cm="1">
        <f t="array" ref="D30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09" s="2">
        <v>5</v>
      </c>
      <c r="F309" s="2">
        <v>49</v>
      </c>
      <c r="G309" s="2" t="str" cm="1">
        <f t="array" ref="G30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09" s="2">
        <v>900</v>
      </c>
      <c r="I309" s="3">
        <f>TabelaFretes[[#This Row],[Valor]]/TabelaFretes[[#This Row],[Quilometragem]]</f>
        <v>18.367346938775512</v>
      </c>
      <c r="J309" s="3">
        <f>TabelaFretes[[#This Row],[Valor]]/TabelaFretes[[#This Row],[Capacidade]]</f>
        <v>33.333333333333336</v>
      </c>
    </row>
    <row r="310" spans="1:10" x14ac:dyDescent="0.3">
      <c r="A310" s="2" t="s">
        <v>65</v>
      </c>
      <c r="B310" s="2" t="s">
        <v>89</v>
      </c>
      <c r="C310" s="2" t="s">
        <v>7</v>
      </c>
      <c r="D310" s="2" cm="1">
        <f t="array" ref="D31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10" s="2">
        <v>3</v>
      </c>
      <c r="F310" s="2">
        <v>12</v>
      </c>
      <c r="G310" s="2" t="str" cm="1">
        <f t="array" ref="G31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10" s="2">
        <v>350</v>
      </c>
      <c r="I310" s="3">
        <f>TabelaFretes[[#This Row],[Valor]]/TabelaFretes[[#This Row],[Quilometragem]]</f>
        <v>29.166666666666668</v>
      </c>
      <c r="J310" s="3">
        <f>TabelaFretes[[#This Row],[Valor]]/TabelaFretes[[#This Row],[Capacidade]]</f>
        <v>25</v>
      </c>
    </row>
    <row r="311" spans="1:10" x14ac:dyDescent="0.3">
      <c r="A311" s="2" t="s">
        <v>65</v>
      </c>
      <c r="B311" s="2" t="s">
        <v>89</v>
      </c>
      <c r="C311" s="2" t="s">
        <v>9</v>
      </c>
      <c r="D311" s="2" cm="1">
        <f t="array" ref="D31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311" s="2">
        <v>4</v>
      </c>
      <c r="F311" s="2">
        <v>12</v>
      </c>
      <c r="G311" s="2" t="str" cm="1">
        <f t="array" ref="G31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11" s="2">
        <v>450</v>
      </c>
      <c r="I311" s="3">
        <f>TabelaFretes[[#This Row],[Valor]]/TabelaFretes[[#This Row],[Quilometragem]]</f>
        <v>37.5</v>
      </c>
      <c r="J311" s="3">
        <f>TabelaFretes[[#This Row],[Valor]]/TabelaFretes[[#This Row],[Capacidade]]</f>
        <v>23.684210526315791</v>
      </c>
    </row>
    <row r="312" spans="1:10" x14ac:dyDescent="0.3">
      <c r="A312" s="2" t="s">
        <v>65</v>
      </c>
      <c r="B312" s="2" t="s">
        <v>89</v>
      </c>
      <c r="C312" s="2" t="s">
        <v>6</v>
      </c>
      <c r="D312" s="2" cm="1">
        <f t="array" ref="D31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12" s="2">
        <v>5</v>
      </c>
      <c r="F312" s="2">
        <v>12</v>
      </c>
      <c r="G312" s="2" t="str" cm="1">
        <f t="array" ref="G31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12" s="2">
        <v>600</v>
      </c>
      <c r="I312" s="3">
        <f>TabelaFretes[[#This Row],[Valor]]/TabelaFretes[[#This Row],[Quilometragem]]</f>
        <v>50</v>
      </c>
      <c r="J312" s="3">
        <f>TabelaFretes[[#This Row],[Valor]]/TabelaFretes[[#This Row],[Capacidade]]</f>
        <v>22.222222222222221</v>
      </c>
    </row>
    <row r="313" spans="1:10" x14ac:dyDescent="0.3">
      <c r="A313" s="2" t="s">
        <v>65</v>
      </c>
      <c r="B313" s="2" t="s">
        <v>90</v>
      </c>
      <c r="C313" s="2" t="s">
        <v>7</v>
      </c>
      <c r="D313" s="2" cm="1">
        <f t="array" ref="D31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13" s="2">
        <v>3</v>
      </c>
      <c r="F313" s="2">
        <v>232</v>
      </c>
      <c r="G313" s="2" t="str" cm="1">
        <f t="array" ref="G31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13" s="2">
        <v>1600</v>
      </c>
      <c r="I313" s="3">
        <f>TabelaFretes[[#This Row],[Valor]]/TabelaFretes[[#This Row],[Quilometragem]]</f>
        <v>6.8965517241379306</v>
      </c>
      <c r="J313" s="3">
        <f>TabelaFretes[[#This Row],[Valor]]/TabelaFretes[[#This Row],[Capacidade]]</f>
        <v>114.28571428571429</v>
      </c>
    </row>
    <row r="314" spans="1:10" x14ac:dyDescent="0.3">
      <c r="A314" s="2" t="s">
        <v>65</v>
      </c>
      <c r="B314" s="2" t="s">
        <v>91</v>
      </c>
      <c r="C314" s="2" t="s">
        <v>7</v>
      </c>
      <c r="D314" s="2" cm="1">
        <f t="array" ref="D31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14" s="2">
        <v>3</v>
      </c>
      <c r="F314" s="2">
        <v>114</v>
      </c>
      <c r="G314" s="2" t="str" cm="1">
        <f t="array" ref="G31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14" s="2">
        <v>1100</v>
      </c>
      <c r="I314" s="3">
        <f>TabelaFretes[[#This Row],[Valor]]/TabelaFretes[[#This Row],[Quilometragem]]</f>
        <v>9.6491228070175445</v>
      </c>
      <c r="J314" s="3">
        <f>TabelaFretes[[#This Row],[Valor]]/TabelaFretes[[#This Row],[Capacidade]]</f>
        <v>78.571428571428569</v>
      </c>
    </row>
    <row r="315" spans="1:10" x14ac:dyDescent="0.3">
      <c r="A315" s="2" t="s">
        <v>65</v>
      </c>
      <c r="B315" s="2" t="s">
        <v>92</v>
      </c>
      <c r="C315" s="2" t="s">
        <v>7</v>
      </c>
      <c r="D315" s="2" cm="1">
        <f t="array" ref="D31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15" s="2">
        <v>3</v>
      </c>
      <c r="F315" s="2">
        <v>698</v>
      </c>
      <c r="G315" s="2" t="str" cm="1">
        <f t="array" ref="G31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15" s="2">
        <v>1000</v>
      </c>
      <c r="I315" s="3">
        <f>TabelaFretes[[#This Row],[Valor]]/TabelaFretes[[#This Row],[Quilometragem]]</f>
        <v>1.4326647564469914</v>
      </c>
      <c r="J315" s="3">
        <f>TabelaFretes[[#This Row],[Valor]]/TabelaFretes[[#This Row],[Capacidade]]</f>
        <v>71.428571428571431</v>
      </c>
    </row>
    <row r="316" spans="1:10" x14ac:dyDescent="0.3">
      <c r="A316" s="2" t="s">
        <v>65</v>
      </c>
      <c r="B316" s="2" t="s">
        <v>93</v>
      </c>
      <c r="C316" s="2" t="s">
        <v>7</v>
      </c>
      <c r="D316" s="2" cm="1">
        <f t="array" ref="D31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16" s="2">
        <v>3</v>
      </c>
      <c r="F316" s="2">
        <v>200</v>
      </c>
      <c r="G316" s="2" t="str" cm="1">
        <f t="array" ref="G31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16" s="2">
        <v>1600</v>
      </c>
      <c r="I316" s="3">
        <f>TabelaFretes[[#This Row],[Valor]]/TabelaFretes[[#This Row],[Quilometragem]]</f>
        <v>8</v>
      </c>
      <c r="J316" s="3">
        <f>TabelaFretes[[#This Row],[Valor]]/TabelaFretes[[#This Row],[Capacidade]]</f>
        <v>114.28571428571429</v>
      </c>
    </row>
    <row r="317" spans="1:10" x14ac:dyDescent="0.3">
      <c r="A317" s="2" t="s">
        <v>65</v>
      </c>
      <c r="B317" s="2" t="s">
        <v>94</v>
      </c>
      <c r="C317" s="2" t="s">
        <v>7</v>
      </c>
      <c r="D317" s="2" cm="1">
        <f t="array" ref="D31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17" s="2">
        <v>3</v>
      </c>
      <c r="F317" s="2">
        <v>918</v>
      </c>
      <c r="G317" s="2" t="str" cm="1">
        <f t="array" ref="G31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17" s="2">
        <v>1100</v>
      </c>
      <c r="I317" s="3">
        <f>TabelaFretes[[#This Row],[Valor]]/TabelaFretes[[#This Row],[Quilometragem]]</f>
        <v>1.1982570806100219</v>
      </c>
      <c r="J317" s="3">
        <f>TabelaFretes[[#This Row],[Valor]]/TabelaFretes[[#This Row],[Capacidade]]</f>
        <v>78.571428571428569</v>
      </c>
    </row>
    <row r="318" spans="1:10" x14ac:dyDescent="0.3">
      <c r="A318" s="2" t="s">
        <v>65</v>
      </c>
      <c r="B318" s="2" t="s">
        <v>95</v>
      </c>
      <c r="C318" s="2" t="s">
        <v>7</v>
      </c>
      <c r="D318" s="2" cm="1">
        <f t="array" ref="D31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18" s="2">
        <v>3</v>
      </c>
      <c r="F318" s="2">
        <v>263</v>
      </c>
      <c r="G318" s="2" t="str" cm="1">
        <f t="array" ref="G31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18" s="2">
        <v>520</v>
      </c>
      <c r="I318" s="3">
        <f>TabelaFretes[[#This Row],[Valor]]/TabelaFretes[[#This Row],[Quilometragem]]</f>
        <v>1.9771863117870723</v>
      </c>
      <c r="J318" s="3">
        <f>TabelaFretes[[#This Row],[Valor]]/TabelaFretes[[#This Row],[Capacidade]]</f>
        <v>37.142857142857146</v>
      </c>
    </row>
    <row r="319" spans="1:10" x14ac:dyDescent="0.3">
      <c r="A319" s="2" t="s">
        <v>65</v>
      </c>
      <c r="B319" s="2" t="s">
        <v>95</v>
      </c>
      <c r="C319" s="2" t="s">
        <v>6</v>
      </c>
      <c r="D319" s="2" cm="1">
        <f t="array" ref="D31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19" s="2">
        <v>5</v>
      </c>
      <c r="F319" s="2">
        <v>263</v>
      </c>
      <c r="G319" s="2" t="str" cm="1">
        <f t="array" ref="G31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19" s="2">
        <v>800</v>
      </c>
      <c r="I319" s="3">
        <f>TabelaFretes[[#This Row],[Valor]]/TabelaFretes[[#This Row],[Quilometragem]]</f>
        <v>3.041825095057034</v>
      </c>
      <c r="J319" s="3">
        <f>TabelaFretes[[#This Row],[Valor]]/TabelaFretes[[#This Row],[Capacidade]]</f>
        <v>29.62962962962963</v>
      </c>
    </row>
    <row r="320" spans="1:10" x14ac:dyDescent="0.3">
      <c r="A320" s="2" t="s">
        <v>65</v>
      </c>
      <c r="B320" s="2" t="s">
        <v>96</v>
      </c>
      <c r="C320" s="2" t="s">
        <v>7</v>
      </c>
      <c r="D320" s="2" cm="1">
        <f t="array" ref="D32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20" s="2">
        <v>3</v>
      </c>
      <c r="F320" s="2">
        <v>109</v>
      </c>
      <c r="G320" s="2" t="str" cm="1">
        <f t="array" ref="G32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20" s="2">
        <v>1500</v>
      </c>
      <c r="I320" s="3">
        <f>TabelaFretes[[#This Row],[Valor]]/TabelaFretes[[#This Row],[Quilometragem]]</f>
        <v>13.761467889908257</v>
      </c>
      <c r="J320" s="3">
        <f>TabelaFretes[[#This Row],[Valor]]/TabelaFretes[[#This Row],[Capacidade]]</f>
        <v>107.14285714285714</v>
      </c>
    </row>
    <row r="321" spans="1:10" x14ac:dyDescent="0.3">
      <c r="A321" s="2" t="s">
        <v>65</v>
      </c>
      <c r="B321" s="2" t="s">
        <v>60</v>
      </c>
      <c r="C321" s="2" t="s">
        <v>7</v>
      </c>
      <c r="D321" s="2" cm="1">
        <f t="array" ref="D32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21" s="2">
        <v>3</v>
      </c>
      <c r="F321" s="2">
        <v>42</v>
      </c>
      <c r="G321" s="2" t="str" cm="1">
        <f t="array" ref="G32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21" s="2">
        <v>500</v>
      </c>
      <c r="I321" s="3">
        <f>TabelaFretes[[#This Row],[Valor]]/TabelaFretes[[#This Row],[Quilometragem]]</f>
        <v>11.904761904761905</v>
      </c>
      <c r="J321" s="3">
        <f>TabelaFretes[[#This Row],[Valor]]/TabelaFretes[[#This Row],[Capacidade]]</f>
        <v>35.714285714285715</v>
      </c>
    </row>
    <row r="322" spans="1:10" x14ac:dyDescent="0.3">
      <c r="A322" s="2" t="s">
        <v>65</v>
      </c>
      <c r="B322" s="2" t="s">
        <v>97</v>
      </c>
      <c r="C322" s="2" t="s">
        <v>7</v>
      </c>
      <c r="D322" s="2" cm="1">
        <f t="array" ref="D32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22" s="2">
        <v>3</v>
      </c>
      <c r="F322" s="2">
        <v>220</v>
      </c>
      <c r="G322" s="2" t="str" cm="1">
        <f t="array" ref="G32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22" s="2">
        <v>1800</v>
      </c>
      <c r="I322" s="3">
        <f>TabelaFretes[[#This Row],[Valor]]/TabelaFretes[[#This Row],[Quilometragem]]</f>
        <v>8.1818181818181817</v>
      </c>
      <c r="J322" s="3">
        <f>TabelaFretes[[#This Row],[Valor]]/TabelaFretes[[#This Row],[Capacidade]]</f>
        <v>128.57142857142858</v>
      </c>
    </row>
    <row r="323" spans="1:10" x14ac:dyDescent="0.3">
      <c r="A323" s="2" t="s">
        <v>65</v>
      </c>
      <c r="B323" s="2" t="s">
        <v>98</v>
      </c>
      <c r="C323" s="2" t="s">
        <v>7</v>
      </c>
      <c r="D323" s="2" cm="1">
        <f t="array" ref="D32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23" s="2">
        <v>3</v>
      </c>
      <c r="F323" s="2">
        <v>417</v>
      </c>
      <c r="G323" s="2" t="str" cm="1">
        <f t="array" ref="G32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23" s="2">
        <v>2700</v>
      </c>
      <c r="I323" s="3">
        <f>TabelaFretes[[#This Row],[Valor]]/TabelaFretes[[#This Row],[Quilometragem]]</f>
        <v>6.4748201438848918</v>
      </c>
      <c r="J323" s="3">
        <f>TabelaFretes[[#This Row],[Valor]]/TabelaFretes[[#This Row],[Capacidade]]</f>
        <v>192.85714285714286</v>
      </c>
    </row>
    <row r="324" spans="1:10" x14ac:dyDescent="0.3">
      <c r="A324" s="2" t="s">
        <v>65</v>
      </c>
      <c r="B324" s="2" t="s">
        <v>99</v>
      </c>
      <c r="C324" s="2" t="s">
        <v>7</v>
      </c>
      <c r="D324" s="2" cm="1">
        <f t="array" ref="D32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24" s="2">
        <v>3</v>
      </c>
      <c r="F324" s="2">
        <v>719</v>
      </c>
      <c r="G324" s="2" t="str" cm="1">
        <f t="array" ref="G32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24" s="2">
        <v>2700</v>
      </c>
      <c r="I324" s="3">
        <f>TabelaFretes[[#This Row],[Valor]]/TabelaFretes[[#This Row],[Quilometragem]]</f>
        <v>3.7552155771905422</v>
      </c>
      <c r="J324" s="3">
        <f>TabelaFretes[[#This Row],[Valor]]/TabelaFretes[[#This Row],[Capacidade]]</f>
        <v>192.85714285714286</v>
      </c>
    </row>
    <row r="325" spans="1:10" x14ac:dyDescent="0.3">
      <c r="A325" s="2" t="s">
        <v>65</v>
      </c>
      <c r="B325" s="2" t="s">
        <v>99</v>
      </c>
      <c r="C325" s="2" t="s">
        <v>7</v>
      </c>
      <c r="D325" s="2" cm="1">
        <f t="array" ref="D32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25" s="2">
        <v>3</v>
      </c>
      <c r="F325" s="2">
        <v>719</v>
      </c>
      <c r="G325" s="2" t="str" cm="1">
        <f t="array" ref="G32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25" s="2">
        <v>5000</v>
      </c>
      <c r="I325" s="3">
        <f>TabelaFretes[[#This Row],[Valor]]/TabelaFretes[[#This Row],[Quilometragem]]</f>
        <v>6.9541029207232263</v>
      </c>
      <c r="J325" s="3">
        <f>TabelaFretes[[#This Row],[Valor]]/TabelaFretes[[#This Row],[Capacidade]]</f>
        <v>357.14285714285717</v>
      </c>
    </row>
    <row r="326" spans="1:10" x14ac:dyDescent="0.3">
      <c r="A326" s="2" t="s">
        <v>65</v>
      </c>
      <c r="B326" s="2" t="s">
        <v>99</v>
      </c>
      <c r="C326" s="2" t="s">
        <v>9</v>
      </c>
      <c r="D326" s="2" cm="1">
        <f t="array" ref="D32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326" s="2">
        <v>4</v>
      </c>
      <c r="F326" s="2">
        <v>719</v>
      </c>
      <c r="G326" s="2" t="str" cm="1">
        <f t="array" ref="G32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26" s="2">
        <v>3500</v>
      </c>
      <c r="I326" s="3">
        <f>TabelaFretes[[#This Row],[Valor]]/TabelaFretes[[#This Row],[Quilometragem]]</f>
        <v>4.8678720445062584</v>
      </c>
      <c r="J326" s="3">
        <f>TabelaFretes[[#This Row],[Valor]]/TabelaFretes[[#This Row],[Capacidade]]</f>
        <v>184.21052631578948</v>
      </c>
    </row>
    <row r="327" spans="1:10" x14ac:dyDescent="0.3">
      <c r="A327" s="2" t="s">
        <v>65</v>
      </c>
      <c r="B327" s="2" t="s">
        <v>100</v>
      </c>
      <c r="C327" s="2" t="s">
        <v>7</v>
      </c>
      <c r="D327" s="2" cm="1">
        <f t="array" ref="D32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27" s="2">
        <v>3</v>
      </c>
      <c r="F327" s="2">
        <v>16</v>
      </c>
      <c r="G327" s="2" t="str" cm="1">
        <f t="array" ref="G32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27" s="2">
        <v>485</v>
      </c>
      <c r="I327" s="3">
        <f>TabelaFretes[[#This Row],[Valor]]/TabelaFretes[[#This Row],[Quilometragem]]</f>
        <v>30.3125</v>
      </c>
      <c r="J327" s="3">
        <f>TabelaFretes[[#This Row],[Valor]]/TabelaFretes[[#This Row],[Capacidade]]</f>
        <v>34.642857142857146</v>
      </c>
    </row>
    <row r="328" spans="1:10" x14ac:dyDescent="0.3">
      <c r="A328" s="2" t="s">
        <v>65</v>
      </c>
      <c r="B328" s="2" t="s">
        <v>100</v>
      </c>
      <c r="C328" s="2" t="s">
        <v>6</v>
      </c>
      <c r="D328" s="2" cm="1">
        <f t="array" ref="D32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28" s="2">
        <v>5</v>
      </c>
      <c r="F328" s="2">
        <v>16</v>
      </c>
      <c r="G328" s="2" t="str" cm="1">
        <f t="array" ref="G32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28" s="2">
        <v>800</v>
      </c>
      <c r="I328" s="3">
        <f>TabelaFretes[[#This Row],[Valor]]/TabelaFretes[[#This Row],[Quilometragem]]</f>
        <v>50</v>
      </c>
      <c r="J328" s="3">
        <f>TabelaFretes[[#This Row],[Valor]]/TabelaFretes[[#This Row],[Capacidade]]</f>
        <v>29.62962962962963</v>
      </c>
    </row>
    <row r="329" spans="1:10" x14ac:dyDescent="0.3">
      <c r="A329" s="2" t="s">
        <v>65</v>
      </c>
      <c r="B329" s="2" t="s">
        <v>101</v>
      </c>
      <c r="C329" s="2" t="s">
        <v>7</v>
      </c>
      <c r="D329" s="2" cm="1">
        <f t="array" ref="D32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29" s="2">
        <v>3</v>
      </c>
      <c r="F329" s="2">
        <v>197</v>
      </c>
      <c r="G329" s="2" t="str" cm="1">
        <f t="array" ref="G32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29" s="2">
        <v>1500</v>
      </c>
      <c r="I329" s="3">
        <f>TabelaFretes[[#This Row],[Valor]]/TabelaFretes[[#This Row],[Quilometragem]]</f>
        <v>7.6142131979695433</v>
      </c>
      <c r="J329" s="3">
        <f>TabelaFretes[[#This Row],[Valor]]/TabelaFretes[[#This Row],[Capacidade]]</f>
        <v>107.14285714285714</v>
      </c>
    </row>
    <row r="330" spans="1:10" x14ac:dyDescent="0.3">
      <c r="A330" s="2" t="s">
        <v>65</v>
      </c>
      <c r="B330" s="2" t="s">
        <v>102</v>
      </c>
      <c r="C330" s="2" t="s">
        <v>7</v>
      </c>
      <c r="D330" s="2" cm="1">
        <f t="array" ref="D33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30" s="2">
        <v>3</v>
      </c>
      <c r="F330" s="2">
        <v>213</v>
      </c>
      <c r="G330" s="2" t="str" cm="1">
        <f t="array" ref="G33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30" s="2">
        <v>1500</v>
      </c>
      <c r="I330" s="3">
        <f>TabelaFretes[[#This Row],[Valor]]/TabelaFretes[[#This Row],[Quilometragem]]</f>
        <v>7.042253521126761</v>
      </c>
      <c r="J330" s="3">
        <f>TabelaFretes[[#This Row],[Valor]]/TabelaFretes[[#This Row],[Capacidade]]</f>
        <v>107.14285714285714</v>
      </c>
    </row>
    <row r="331" spans="1:10" x14ac:dyDescent="0.3">
      <c r="A331" s="2" t="s">
        <v>65</v>
      </c>
      <c r="B331" s="2" t="s">
        <v>103</v>
      </c>
      <c r="C331" s="2" t="s">
        <v>7</v>
      </c>
      <c r="D331" s="2" cm="1">
        <f t="array" ref="D33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31" s="2">
        <v>3</v>
      </c>
      <c r="F331" s="2">
        <v>366</v>
      </c>
      <c r="G331" s="2" t="str" cm="1">
        <f t="array" ref="G33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31" s="2">
        <v>2300</v>
      </c>
      <c r="I331" s="3">
        <f>TabelaFretes[[#This Row],[Valor]]/TabelaFretes[[#This Row],[Quilometragem]]</f>
        <v>6.2841530054644812</v>
      </c>
      <c r="J331" s="3">
        <f>TabelaFretes[[#This Row],[Valor]]/TabelaFretes[[#This Row],[Capacidade]]</f>
        <v>164.28571428571428</v>
      </c>
    </row>
    <row r="332" spans="1:10" x14ac:dyDescent="0.3">
      <c r="A332" s="2" t="s">
        <v>65</v>
      </c>
      <c r="B332" s="2" t="s">
        <v>104</v>
      </c>
      <c r="C332" s="2" t="s">
        <v>7</v>
      </c>
      <c r="D332" s="2" cm="1">
        <f t="array" ref="D33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32" s="2">
        <v>3</v>
      </c>
      <c r="F332" s="2">
        <v>419</v>
      </c>
      <c r="G332" s="2" t="str" cm="1">
        <f t="array" ref="G33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32" s="2">
        <v>2200</v>
      </c>
      <c r="I332" s="3">
        <f>TabelaFretes[[#This Row],[Valor]]/TabelaFretes[[#This Row],[Quilometragem]]</f>
        <v>5.2505966587112169</v>
      </c>
      <c r="J332" s="3">
        <f>TabelaFretes[[#This Row],[Valor]]/TabelaFretes[[#This Row],[Capacidade]]</f>
        <v>157.14285714285714</v>
      </c>
    </row>
    <row r="333" spans="1:10" x14ac:dyDescent="0.3">
      <c r="A333" s="2" t="s">
        <v>65</v>
      </c>
      <c r="B333" s="2" t="s">
        <v>104</v>
      </c>
      <c r="C333" s="2" t="s">
        <v>9</v>
      </c>
      <c r="D333" s="2" cm="1">
        <f t="array" ref="D33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333" s="2">
        <v>4</v>
      </c>
      <c r="F333" s="2">
        <v>419</v>
      </c>
      <c r="G333" s="2" t="str" cm="1">
        <f t="array" ref="G33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33" s="2">
        <v>2700</v>
      </c>
      <c r="I333" s="3">
        <f>TabelaFretes[[#This Row],[Valor]]/TabelaFretes[[#This Row],[Quilometragem]]</f>
        <v>6.4439140811455848</v>
      </c>
      <c r="J333" s="3">
        <f>TabelaFretes[[#This Row],[Valor]]/TabelaFretes[[#This Row],[Capacidade]]</f>
        <v>142.10526315789474</v>
      </c>
    </row>
    <row r="334" spans="1:10" x14ac:dyDescent="0.3">
      <c r="A334" s="2" t="s">
        <v>65</v>
      </c>
      <c r="B334" s="2" t="s">
        <v>104</v>
      </c>
      <c r="C334" s="2" t="s">
        <v>6</v>
      </c>
      <c r="D334" s="2" cm="1">
        <f t="array" ref="D33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34" s="2">
        <v>5</v>
      </c>
      <c r="F334" s="2">
        <v>419</v>
      </c>
      <c r="G334" s="2" t="str" cm="1">
        <f t="array" ref="G33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34" s="2">
        <v>4000</v>
      </c>
      <c r="I334" s="3">
        <f>TabelaFretes[[#This Row],[Valor]]/TabelaFretes[[#This Row],[Quilometragem]]</f>
        <v>9.5465393794749396</v>
      </c>
      <c r="J334" s="3">
        <f>TabelaFretes[[#This Row],[Valor]]/TabelaFretes[[#This Row],[Capacidade]]</f>
        <v>148.14814814814815</v>
      </c>
    </row>
    <row r="335" spans="1:10" x14ac:dyDescent="0.3">
      <c r="A335" s="2" t="s">
        <v>65</v>
      </c>
      <c r="B335" s="2" t="s">
        <v>105</v>
      </c>
      <c r="C335" s="2" t="s">
        <v>7</v>
      </c>
      <c r="D335" s="2" cm="1">
        <f t="array" ref="D33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35" s="2">
        <v>3</v>
      </c>
      <c r="F335" s="2">
        <v>128</v>
      </c>
      <c r="G335" s="2" t="str" cm="1">
        <f t="array" ref="G33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35" s="2">
        <v>1100</v>
      </c>
      <c r="I335" s="3">
        <f>TabelaFretes[[#This Row],[Valor]]/TabelaFretes[[#This Row],[Quilometragem]]</f>
        <v>8.59375</v>
      </c>
      <c r="J335" s="3">
        <f>TabelaFretes[[#This Row],[Valor]]/TabelaFretes[[#This Row],[Capacidade]]</f>
        <v>78.571428571428569</v>
      </c>
    </row>
    <row r="336" spans="1:10" x14ac:dyDescent="0.3">
      <c r="A336" s="2" t="s">
        <v>65</v>
      </c>
      <c r="B336" s="2" t="s">
        <v>106</v>
      </c>
      <c r="C336" s="2" t="s">
        <v>7</v>
      </c>
      <c r="D336" s="2" cm="1">
        <f t="array" ref="D33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36" s="2">
        <v>3</v>
      </c>
      <c r="F336" s="2">
        <v>398</v>
      </c>
      <c r="G336" s="2" t="str" cm="1">
        <f t="array" ref="G33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336" s="2">
        <v>2200</v>
      </c>
      <c r="I336" s="3">
        <f>TabelaFretes[[#This Row],[Valor]]/TabelaFretes[[#This Row],[Quilometragem]]</f>
        <v>5.5276381909547743</v>
      </c>
      <c r="J336" s="3">
        <f>TabelaFretes[[#This Row],[Valor]]/TabelaFretes[[#This Row],[Capacidade]]</f>
        <v>157.14285714285714</v>
      </c>
    </row>
    <row r="337" spans="1:10" x14ac:dyDescent="0.3">
      <c r="A337" s="2" t="s">
        <v>65</v>
      </c>
      <c r="B337" s="2" t="s">
        <v>107</v>
      </c>
      <c r="C337" s="2" t="s">
        <v>7</v>
      </c>
      <c r="D337" s="2" cm="1">
        <f t="array" ref="D33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37" s="2">
        <v>3</v>
      </c>
      <c r="F337" s="2">
        <v>108</v>
      </c>
      <c r="G337" s="2" t="str" cm="1">
        <f t="array" ref="G33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37" s="2">
        <v>1100</v>
      </c>
      <c r="I337" s="3">
        <f>TabelaFretes[[#This Row],[Valor]]/TabelaFretes[[#This Row],[Quilometragem]]</f>
        <v>10.185185185185185</v>
      </c>
      <c r="J337" s="3">
        <f>TabelaFretes[[#This Row],[Valor]]/TabelaFretes[[#This Row],[Capacidade]]</f>
        <v>78.571428571428569</v>
      </c>
    </row>
    <row r="338" spans="1:10" x14ac:dyDescent="0.3">
      <c r="A338" s="2" t="s">
        <v>65</v>
      </c>
      <c r="B338" s="2" t="s">
        <v>108</v>
      </c>
      <c r="C338" s="2" t="s">
        <v>7</v>
      </c>
      <c r="D338" s="2" cm="1">
        <f t="array" ref="D33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38" s="2">
        <v>3</v>
      </c>
      <c r="F338" s="2">
        <v>177</v>
      </c>
      <c r="G338" s="2" t="str" cm="1">
        <f t="array" ref="G33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38" s="2">
        <v>1500</v>
      </c>
      <c r="I338" s="3">
        <f>TabelaFretes[[#This Row],[Valor]]/TabelaFretes[[#This Row],[Quilometragem]]</f>
        <v>8.4745762711864412</v>
      </c>
      <c r="J338" s="3">
        <f>TabelaFretes[[#This Row],[Valor]]/TabelaFretes[[#This Row],[Capacidade]]</f>
        <v>107.14285714285714</v>
      </c>
    </row>
    <row r="339" spans="1:10" x14ac:dyDescent="0.3">
      <c r="A339" s="2" t="s">
        <v>65</v>
      </c>
      <c r="B339" s="2" t="s">
        <v>109</v>
      </c>
      <c r="C339" s="2" t="s">
        <v>7</v>
      </c>
      <c r="D339" s="2" cm="1">
        <f t="array" ref="D33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39" s="2">
        <v>3</v>
      </c>
      <c r="F339" s="2">
        <v>192</v>
      </c>
      <c r="G339" s="2" t="str" cm="1">
        <f t="array" ref="G33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39" s="2">
        <v>1100</v>
      </c>
      <c r="I339" s="3">
        <f>TabelaFretes[[#This Row],[Valor]]/TabelaFretes[[#This Row],[Quilometragem]]</f>
        <v>5.729166666666667</v>
      </c>
      <c r="J339" s="3">
        <f>TabelaFretes[[#This Row],[Valor]]/TabelaFretes[[#This Row],[Capacidade]]</f>
        <v>78.571428571428569</v>
      </c>
    </row>
    <row r="340" spans="1:10" x14ac:dyDescent="0.3">
      <c r="A340" s="2" t="s">
        <v>65</v>
      </c>
      <c r="B340" s="2" t="s">
        <v>110</v>
      </c>
      <c r="C340" s="2" t="s">
        <v>7</v>
      </c>
      <c r="D340" s="2" cm="1">
        <f t="array" ref="D34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40" s="2">
        <v>3</v>
      </c>
      <c r="F340" s="2">
        <v>57</v>
      </c>
      <c r="G340" s="2" t="str" cm="1">
        <f t="array" ref="G34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340" s="2">
        <v>1000</v>
      </c>
      <c r="I340" s="3">
        <f>TabelaFretes[[#This Row],[Valor]]/TabelaFretes[[#This Row],[Quilometragem]]</f>
        <v>17.543859649122808</v>
      </c>
      <c r="J340" s="3">
        <f>TabelaFretes[[#This Row],[Valor]]/TabelaFretes[[#This Row],[Capacidade]]</f>
        <v>71.428571428571431</v>
      </c>
    </row>
    <row r="341" spans="1:10" x14ac:dyDescent="0.3">
      <c r="A341" s="2" t="s">
        <v>25</v>
      </c>
      <c r="B341" s="2" t="s">
        <v>26</v>
      </c>
      <c r="C341" s="2" t="s">
        <v>7</v>
      </c>
      <c r="D341" s="2" cm="1">
        <f t="array" ref="D34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41" s="2">
        <v>3</v>
      </c>
      <c r="F341" s="2">
        <v>1131</v>
      </c>
      <c r="G341" s="2" t="str" cm="1">
        <f t="array" ref="G34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Longa</v>
      </c>
      <c r="H341" s="2">
        <v>4800</v>
      </c>
      <c r="I341" s="3">
        <f>TabelaFretes[[#This Row],[Valor]]/TabelaFretes[[#This Row],[Quilometragem]]</f>
        <v>4.2440318302387272</v>
      </c>
      <c r="J341" s="3">
        <f>TabelaFretes[[#This Row],[Valor]]/TabelaFretes[[#This Row],[Capacidade]]</f>
        <v>342.85714285714283</v>
      </c>
    </row>
    <row r="342" spans="1:10" x14ac:dyDescent="0.3">
      <c r="A342" s="2" t="s">
        <v>250</v>
      </c>
      <c r="B342" s="2" t="s">
        <v>251</v>
      </c>
      <c r="C342" s="2" t="s">
        <v>7</v>
      </c>
      <c r="D342" s="2" cm="1">
        <f t="array" ref="D34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42" s="2">
        <v>3</v>
      </c>
      <c r="F342" s="2">
        <v>2959</v>
      </c>
      <c r="G342" s="2" t="str" cm="1">
        <f t="array" ref="G34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42" s="2">
        <v>8200</v>
      </c>
      <c r="I342" s="3">
        <f>TabelaFretes[[#This Row],[Valor]]/TabelaFretes[[#This Row],[Quilometragem]]</f>
        <v>2.7712064886786076</v>
      </c>
      <c r="J342" s="3">
        <f>TabelaFretes[[#This Row],[Valor]]/TabelaFretes[[#This Row],[Capacidade]]</f>
        <v>585.71428571428567</v>
      </c>
    </row>
    <row r="343" spans="1:10" x14ac:dyDescent="0.3">
      <c r="A343" s="2" t="s">
        <v>250</v>
      </c>
      <c r="B343" s="2" t="s">
        <v>251</v>
      </c>
      <c r="C343" s="2" t="s">
        <v>6</v>
      </c>
      <c r="D343" s="2" cm="1">
        <f t="array" ref="D34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43" s="2">
        <v>5</v>
      </c>
      <c r="F343" s="2">
        <v>2959</v>
      </c>
      <c r="G343" s="2" t="str" cm="1">
        <f t="array" ref="G34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43" s="2">
        <v>16000</v>
      </c>
      <c r="I343" s="3">
        <f>TabelaFretes[[#This Row],[Valor]]/TabelaFretes[[#This Row],[Quilometragem]]</f>
        <v>5.4072321730314297</v>
      </c>
      <c r="J343" s="3">
        <f>TabelaFretes[[#This Row],[Valor]]/TabelaFretes[[#This Row],[Capacidade]]</f>
        <v>592.59259259259261</v>
      </c>
    </row>
    <row r="344" spans="1:10" x14ac:dyDescent="0.3">
      <c r="A344" s="2" t="s">
        <v>250</v>
      </c>
      <c r="B344" s="2" t="s">
        <v>251</v>
      </c>
      <c r="C344" s="2" t="s">
        <v>158</v>
      </c>
      <c r="D344" s="2" cm="1">
        <f t="array" ref="D34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44" s="2">
        <v>6</v>
      </c>
      <c r="F344" s="2">
        <v>2959</v>
      </c>
      <c r="G344" s="2" t="str" cm="1">
        <f t="array" ref="G34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44" s="2">
        <v>16000</v>
      </c>
      <c r="I344" s="3">
        <f>TabelaFretes[[#This Row],[Valor]]/TabelaFretes[[#This Row],[Quilometragem]]</f>
        <v>5.4072321730314297</v>
      </c>
      <c r="J344" s="3">
        <f>TabelaFretes[[#This Row],[Valor]]/TabelaFretes[[#This Row],[Capacidade]]</f>
        <v>500</v>
      </c>
    </row>
    <row r="345" spans="1:10" x14ac:dyDescent="0.3">
      <c r="A345" s="2" t="s">
        <v>250</v>
      </c>
      <c r="B345" s="2" t="s">
        <v>252</v>
      </c>
      <c r="C345" s="2" t="s">
        <v>7</v>
      </c>
      <c r="D345" s="2" cm="1">
        <f t="array" ref="D34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45" s="2">
        <v>3</v>
      </c>
      <c r="F345" s="2">
        <v>3251</v>
      </c>
      <c r="G345" s="2" t="str" cm="1">
        <f t="array" ref="G34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45" s="2">
        <v>8200</v>
      </c>
      <c r="I345" s="3">
        <f>TabelaFretes[[#This Row],[Valor]]/TabelaFretes[[#This Row],[Quilometragem]]</f>
        <v>2.522300830513688</v>
      </c>
      <c r="J345" s="3">
        <f>TabelaFretes[[#This Row],[Valor]]/TabelaFretes[[#This Row],[Capacidade]]</f>
        <v>585.71428571428567</v>
      </c>
    </row>
    <row r="346" spans="1:10" x14ac:dyDescent="0.3">
      <c r="A346" s="2" t="s">
        <v>250</v>
      </c>
      <c r="B346" s="2" t="s">
        <v>252</v>
      </c>
      <c r="C346" s="2" t="s">
        <v>6</v>
      </c>
      <c r="D346" s="2" cm="1">
        <f t="array" ref="D34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46" s="2">
        <v>5</v>
      </c>
      <c r="F346" s="2">
        <v>3251</v>
      </c>
      <c r="G346" s="2" t="str" cm="1">
        <f t="array" ref="G34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46" s="2">
        <v>16000</v>
      </c>
      <c r="I346" s="3">
        <f>TabelaFretes[[#This Row],[Valor]]/TabelaFretes[[#This Row],[Quilometragem]]</f>
        <v>4.9215625961242697</v>
      </c>
      <c r="J346" s="3">
        <f>TabelaFretes[[#This Row],[Valor]]/TabelaFretes[[#This Row],[Capacidade]]</f>
        <v>592.59259259259261</v>
      </c>
    </row>
    <row r="347" spans="1:10" x14ac:dyDescent="0.3">
      <c r="A347" s="2" t="s">
        <v>250</v>
      </c>
      <c r="B347" s="2" t="s">
        <v>252</v>
      </c>
      <c r="C347" s="2" t="s">
        <v>158</v>
      </c>
      <c r="D347" s="2" cm="1">
        <f t="array" ref="D34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47" s="2">
        <v>6</v>
      </c>
      <c r="F347" s="2">
        <v>3251</v>
      </c>
      <c r="G347" s="2" t="str" cm="1">
        <f t="array" ref="G34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47" s="2">
        <v>16000</v>
      </c>
      <c r="I347" s="3">
        <f>TabelaFretes[[#This Row],[Valor]]/TabelaFretes[[#This Row],[Quilometragem]]</f>
        <v>4.9215625961242697</v>
      </c>
      <c r="J347" s="3">
        <f>TabelaFretes[[#This Row],[Valor]]/TabelaFretes[[#This Row],[Capacidade]]</f>
        <v>500</v>
      </c>
    </row>
    <row r="348" spans="1:10" x14ac:dyDescent="0.3">
      <c r="A348" s="2" t="s">
        <v>250</v>
      </c>
      <c r="B348" s="2" t="s">
        <v>253</v>
      </c>
      <c r="C348" s="2" t="s">
        <v>7</v>
      </c>
      <c r="D348" s="2" cm="1">
        <f t="array" ref="D34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48" s="2">
        <v>3</v>
      </c>
      <c r="F348" s="2">
        <v>2862</v>
      </c>
      <c r="G348" s="2" t="str" cm="1">
        <f t="array" ref="G34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48" s="2">
        <v>8200</v>
      </c>
      <c r="I348" s="3">
        <f>TabelaFretes[[#This Row],[Valor]]/TabelaFretes[[#This Row],[Quilometragem]]</f>
        <v>2.8651292802236199</v>
      </c>
      <c r="J348" s="3">
        <f>TabelaFretes[[#This Row],[Valor]]/TabelaFretes[[#This Row],[Capacidade]]</f>
        <v>585.71428571428567</v>
      </c>
    </row>
    <row r="349" spans="1:10" x14ac:dyDescent="0.3">
      <c r="A349" s="2" t="s">
        <v>250</v>
      </c>
      <c r="B349" s="2" t="s">
        <v>253</v>
      </c>
      <c r="C349" s="2" t="s">
        <v>6</v>
      </c>
      <c r="D349" s="2" cm="1">
        <f t="array" ref="D34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49" s="2">
        <v>5</v>
      </c>
      <c r="F349" s="2">
        <v>2862</v>
      </c>
      <c r="G349" s="2" t="str" cm="1">
        <f t="array" ref="G34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49" s="2">
        <v>16000</v>
      </c>
      <c r="I349" s="3">
        <f>TabelaFretes[[#This Row],[Valor]]/TabelaFretes[[#This Row],[Quilometragem]]</f>
        <v>5.5904961565338924</v>
      </c>
      <c r="J349" s="3">
        <f>TabelaFretes[[#This Row],[Valor]]/TabelaFretes[[#This Row],[Capacidade]]</f>
        <v>592.59259259259261</v>
      </c>
    </row>
    <row r="350" spans="1:10" x14ac:dyDescent="0.3">
      <c r="A350" s="2" t="s">
        <v>250</v>
      </c>
      <c r="B350" s="2" t="s">
        <v>253</v>
      </c>
      <c r="C350" s="2" t="s">
        <v>158</v>
      </c>
      <c r="D350" s="2" cm="1">
        <f t="array" ref="D35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50" s="2">
        <v>6</v>
      </c>
      <c r="F350" s="2">
        <v>2862</v>
      </c>
      <c r="G350" s="2" t="str" cm="1">
        <f t="array" ref="G35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0" s="2">
        <v>16000</v>
      </c>
      <c r="I350" s="3">
        <f>TabelaFretes[[#This Row],[Valor]]/TabelaFretes[[#This Row],[Quilometragem]]</f>
        <v>5.5904961565338924</v>
      </c>
      <c r="J350" s="3">
        <f>TabelaFretes[[#This Row],[Valor]]/TabelaFretes[[#This Row],[Capacidade]]</f>
        <v>500</v>
      </c>
    </row>
    <row r="351" spans="1:10" x14ac:dyDescent="0.3">
      <c r="A351" s="2" t="s">
        <v>250</v>
      </c>
      <c r="B351" s="2" t="s">
        <v>254</v>
      </c>
      <c r="C351" s="2" t="s">
        <v>7</v>
      </c>
      <c r="D351" s="2" cm="1">
        <f t="array" ref="D35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51" s="2">
        <v>3</v>
      </c>
      <c r="F351" s="2">
        <v>2992</v>
      </c>
      <c r="G351" s="2" t="str" cm="1">
        <f t="array" ref="G35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1" s="2">
        <v>8200</v>
      </c>
      <c r="I351" s="3">
        <f>TabelaFretes[[#This Row],[Valor]]/TabelaFretes[[#This Row],[Quilometragem]]</f>
        <v>2.7406417112299466</v>
      </c>
      <c r="J351" s="3">
        <f>TabelaFretes[[#This Row],[Valor]]/TabelaFretes[[#This Row],[Capacidade]]</f>
        <v>585.71428571428567</v>
      </c>
    </row>
    <row r="352" spans="1:10" x14ac:dyDescent="0.3">
      <c r="A352" s="2" t="s">
        <v>250</v>
      </c>
      <c r="B352" s="2" t="s">
        <v>254</v>
      </c>
      <c r="C352" s="2" t="s">
        <v>6</v>
      </c>
      <c r="D352" s="2" cm="1">
        <f t="array" ref="D35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52" s="2">
        <v>5</v>
      </c>
      <c r="F352" s="2">
        <v>2992</v>
      </c>
      <c r="G352" s="2" t="str" cm="1">
        <f t="array" ref="G35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2" s="2">
        <v>16000</v>
      </c>
      <c r="I352" s="3">
        <f>TabelaFretes[[#This Row],[Valor]]/TabelaFretes[[#This Row],[Quilometragem]]</f>
        <v>5.3475935828877006</v>
      </c>
      <c r="J352" s="3">
        <f>TabelaFretes[[#This Row],[Valor]]/TabelaFretes[[#This Row],[Capacidade]]</f>
        <v>592.59259259259261</v>
      </c>
    </row>
    <row r="353" spans="1:10" x14ac:dyDescent="0.3">
      <c r="A353" s="2" t="s">
        <v>250</v>
      </c>
      <c r="B353" s="2" t="s">
        <v>254</v>
      </c>
      <c r="C353" s="2" t="s">
        <v>158</v>
      </c>
      <c r="D353" s="2" cm="1">
        <f t="array" ref="D35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53" s="2">
        <v>6</v>
      </c>
      <c r="F353" s="2">
        <v>2992</v>
      </c>
      <c r="G353" s="2" t="str" cm="1">
        <f t="array" ref="G35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3" s="2">
        <v>16000</v>
      </c>
      <c r="I353" s="3">
        <f>TabelaFretes[[#This Row],[Valor]]/TabelaFretes[[#This Row],[Quilometragem]]</f>
        <v>5.3475935828877006</v>
      </c>
      <c r="J353" s="3">
        <f>TabelaFretes[[#This Row],[Valor]]/TabelaFretes[[#This Row],[Capacidade]]</f>
        <v>500</v>
      </c>
    </row>
    <row r="354" spans="1:10" x14ac:dyDescent="0.3">
      <c r="A354" s="2" t="s">
        <v>250</v>
      </c>
      <c r="B354" s="2" t="s">
        <v>255</v>
      </c>
      <c r="C354" s="2" t="s">
        <v>7</v>
      </c>
      <c r="D354" s="2" cm="1">
        <f t="array" ref="D35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54" s="2">
        <v>3</v>
      </c>
      <c r="F354" s="2">
        <v>3292</v>
      </c>
      <c r="G354" s="2" t="str" cm="1">
        <f t="array" ref="G35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4" s="2">
        <v>11500</v>
      </c>
      <c r="I354" s="3">
        <f>TabelaFretes[[#This Row],[Valor]]/TabelaFretes[[#This Row],[Quilometragem]]</f>
        <v>3.4933171324422845</v>
      </c>
      <c r="J354" s="3">
        <f>TabelaFretes[[#This Row],[Valor]]/TabelaFretes[[#This Row],[Capacidade]]</f>
        <v>821.42857142857144</v>
      </c>
    </row>
    <row r="355" spans="1:10" x14ac:dyDescent="0.3">
      <c r="A355" s="2" t="s">
        <v>250</v>
      </c>
      <c r="B355" s="2" t="s">
        <v>255</v>
      </c>
      <c r="C355" s="2" t="s">
        <v>6</v>
      </c>
      <c r="D355" s="2" cm="1">
        <f t="array" ref="D35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55" s="2">
        <v>5</v>
      </c>
      <c r="F355" s="2">
        <v>3292</v>
      </c>
      <c r="G355" s="2" t="str" cm="1">
        <f t="array" ref="G35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5" s="2">
        <v>17500</v>
      </c>
      <c r="I355" s="3">
        <f>TabelaFretes[[#This Row],[Valor]]/TabelaFretes[[#This Row],[Quilometragem]]</f>
        <v>5.3159173754556504</v>
      </c>
      <c r="J355" s="3">
        <f>TabelaFretes[[#This Row],[Valor]]/TabelaFretes[[#This Row],[Capacidade]]</f>
        <v>648.14814814814815</v>
      </c>
    </row>
    <row r="356" spans="1:10" x14ac:dyDescent="0.3">
      <c r="A356" s="2" t="s">
        <v>250</v>
      </c>
      <c r="B356" s="2" t="s">
        <v>255</v>
      </c>
      <c r="C356" s="2" t="s">
        <v>158</v>
      </c>
      <c r="D356" s="2" cm="1">
        <f t="array" ref="D35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56" s="2">
        <v>6</v>
      </c>
      <c r="F356" s="2">
        <v>3292</v>
      </c>
      <c r="G356" s="2" t="str" cm="1">
        <f t="array" ref="G35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6" s="2">
        <v>17500</v>
      </c>
      <c r="I356" s="3">
        <f>TabelaFretes[[#This Row],[Valor]]/TabelaFretes[[#This Row],[Quilometragem]]</f>
        <v>5.3159173754556504</v>
      </c>
      <c r="J356" s="3">
        <f>TabelaFretes[[#This Row],[Valor]]/TabelaFretes[[#This Row],[Capacidade]]</f>
        <v>546.875</v>
      </c>
    </row>
    <row r="357" spans="1:10" x14ac:dyDescent="0.3">
      <c r="A357" s="2" t="s">
        <v>250</v>
      </c>
      <c r="B357" s="2" t="s">
        <v>256</v>
      </c>
      <c r="C357" s="2" t="s">
        <v>7</v>
      </c>
      <c r="D357" s="2" cm="1">
        <f t="array" ref="D35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57" s="2">
        <v>3</v>
      </c>
      <c r="F357" s="2">
        <v>3088</v>
      </c>
      <c r="G357" s="2" t="str" cm="1">
        <f t="array" ref="G35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7" s="2">
        <v>8200</v>
      </c>
      <c r="I357" s="3">
        <f>TabelaFretes[[#This Row],[Valor]]/TabelaFretes[[#This Row],[Quilometragem]]</f>
        <v>2.6554404145077721</v>
      </c>
      <c r="J357" s="3">
        <f>TabelaFretes[[#This Row],[Valor]]/TabelaFretes[[#This Row],[Capacidade]]</f>
        <v>585.71428571428567</v>
      </c>
    </row>
    <row r="358" spans="1:10" x14ac:dyDescent="0.3">
      <c r="A358" s="2" t="s">
        <v>250</v>
      </c>
      <c r="B358" s="2" t="s">
        <v>256</v>
      </c>
      <c r="C358" s="2" t="s">
        <v>6</v>
      </c>
      <c r="D358" s="2" cm="1">
        <f t="array" ref="D35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58" s="2">
        <v>5</v>
      </c>
      <c r="F358" s="2">
        <v>3088</v>
      </c>
      <c r="G358" s="2" t="str" cm="1">
        <f t="array" ref="G35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8" s="2">
        <v>16000</v>
      </c>
      <c r="I358" s="3">
        <f>TabelaFretes[[#This Row],[Valor]]/TabelaFretes[[#This Row],[Quilometragem]]</f>
        <v>5.1813471502590671</v>
      </c>
      <c r="J358" s="3">
        <f>TabelaFretes[[#This Row],[Valor]]/TabelaFretes[[#This Row],[Capacidade]]</f>
        <v>592.59259259259261</v>
      </c>
    </row>
    <row r="359" spans="1:10" x14ac:dyDescent="0.3">
      <c r="A359" s="2" t="s">
        <v>250</v>
      </c>
      <c r="B359" s="2" t="s">
        <v>256</v>
      </c>
      <c r="C359" s="2" t="s">
        <v>158</v>
      </c>
      <c r="D359" s="2" cm="1">
        <f t="array" ref="D35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59" s="2">
        <v>6</v>
      </c>
      <c r="F359" s="2">
        <v>3088</v>
      </c>
      <c r="G359" s="2" t="str" cm="1">
        <f t="array" ref="G35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59" s="2">
        <v>16000</v>
      </c>
      <c r="I359" s="3">
        <f>TabelaFretes[[#This Row],[Valor]]/TabelaFretes[[#This Row],[Quilometragem]]</f>
        <v>5.1813471502590671</v>
      </c>
      <c r="J359" s="3">
        <f>TabelaFretes[[#This Row],[Valor]]/TabelaFretes[[#This Row],[Capacidade]]</f>
        <v>500</v>
      </c>
    </row>
    <row r="360" spans="1:10" x14ac:dyDescent="0.3">
      <c r="A360" s="2" t="s">
        <v>250</v>
      </c>
      <c r="B360" s="2" t="s">
        <v>257</v>
      </c>
      <c r="C360" s="2" t="s">
        <v>7</v>
      </c>
      <c r="D360" s="2" cm="1">
        <f t="array" ref="D36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60" s="2">
        <v>3</v>
      </c>
      <c r="F360" s="2">
        <v>3054</v>
      </c>
      <c r="G360" s="2" t="str" cm="1">
        <f t="array" ref="G36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0" s="2">
        <v>8200</v>
      </c>
      <c r="I360" s="3">
        <f>TabelaFretes[[#This Row],[Valor]]/TabelaFretes[[#This Row],[Quilometragem]]</f>
        <v>2.6850032743942371</v>
      </c>
      <c r="J360" s="3">
        <f>TabelaFretes[[#This Row],[Valor]]/TabelaFretes[[#This Row],[Capacidade]]</f>
        <v>585.71428571428567</v>
      </c>
    </row>
    <row r="361" spans="1:10" x14ac:dyDescent="0.3">
      <c r="A361" s="2" t="s">
        <v>250</v>
      </c>
      <c r="B361" s="2" t="s">
        <v>257</v>
      </c>
      <c r="C361" s="2" t="s">
        <v>6</v>
      </c>
      <c r="D361" s="2" cm="1">
        <f t="array" ref="D36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61" s="2">
        <v>5</v>
      </c>
      <c r="F361" s="2">
        <v>3054</v>
      </c>
      <c r="G361" s="2" t="str" cm="1">
        <f t="array" ref="G36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1" s="2">
        <v>16000</v>
      </c>
      <c r="I361" s="3">
        <f>TabelaFretes[[#This Row],[Valor]]/TabelaFretes[[#This Row],[Quilometragem]]</f>
        <v>5.2390307793058284</v>
      </c>
      <c r="J361" s="3">
        <f>TabelaFretes[[#This Row],[Valor]]/TabelaFretes[[#This Row],[Capacidade]]</f>
        <v>592.59259259259261</v>
      </c>
    </row>
    <row r="362" spans="1:10" x14ac:dyDescent="0.3">
      <c r="A362" s="2" t="s">
        <v>250</v>
      </c>
      <c r="B362" s="2" t="s">
        <v>257</v>
      </c>
      <c r="C362" s="2" t="s">
        <v>158</v>
      </c>
      <c r="D362" s="2" cm="1">
        <f t="array" ref="D36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62" s="2">
        <v>6</v>
      </c>
      <c r="F362" s="2">
        <v>3054</v>
      </c>
      <c r="G362" s="2" t="str" cm="1">
        <f t="array" ref="G36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2" s="2">
        <v>16000</v>
      </c>
      <c r="I362" s="3">
        <f>TabelaFretes[[#This Row],[Valor]]/TabelaFretes[[#This Row],[Quilometragem]]</f>
        <v>5.2390307793058284</v>
      </c>
      <c r="J362" s="3">
        <f>TabelaFretes[[#This Row],[Valor]]/TabelaFretes[[#This Row],[Capacidade]]</f>
        <v>500</v>
      </c>
    </row>
    <row r="363" spans="1:10" x14ac:dyDescent="0.3">
      <c r="A363" s="2" t="s">
        <v>250</v>
      </c>
      <c r="B363" s="2" t="s">
        <v>258</v>
      </c>
      <c r="C363" s="2" t="s">
        <v>7</v>
      </c>
      <c r="D363" s="2" cm="1">
        <f t="array" ref="D36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63" s="2">
        <v>3</v>
      </c>
      <c r="F363" s="2">
        <v>3222</v>
      </c>
      <c r="G363" s="2" t="str" cm="1">
        <f t="array" ref="G36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3" s="2">
        <v>8200</v>
      </c>
      <c r="I363" s="3">
        <f>TabelaFretes[[#This Row],[Valor]]/TabelaFretes[[#This Row],[Quilometragem]]</f>
        <v>2.5450031036623217</v>
      </c>
      <c r="J363" s="3">
        <f>TabelaFretes[[#This Row],[Valor]]/TabelaFretes[[#This Row],[Capacidade]]</f>
        <v>585.71428571428567</v>
      </c>
    </row>
    <row r="364" spans="1:10" x14ac:dyDescent="0.3">
      <c r="A364" s="2" t="s">
        <v>250</v>
      </c>
      <c r="B364" s="2" t="s">
        <v>258</v>
      </c>
      <c r="C364" s="2" t="s">
        <v>6</v>
      </c>
      <c r="D364" s="2" cm="1">
        <f t="array" ref="D36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64" s="2">
        <v>5</v>
      </c>
      <c r="F364" s="2">
        <v>3222</v>
      </c>
      <c r="G364" s="2" t="str" cm="1">
        <f t="array" ref="G36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4" s="2">
        <v>16000</v>
      </c>
      <c r="I364" s="3">
        <f>TabelaFretes[[#This Row],[Valor]]/TabelaFretes[[#This Row],[Quilometragem]]</f>
        <v>4.9658597144630665</v>
      </c>
      <c r="J364" s="3">
        <f>TabelaFretes[[#This Row],[Valor]]/TabelaFretes[[#This Row],[Capacidade]]</f>
        <v>592.59259259259261</v>
      </c>
    </row>
    <row r="365" spans="1:10" x14ac:dyDescent="0.3">
      <c r="A365" s="2" t="s">
        <v>250</v>
      </c>
      <c r="B365" s="2" t="s">
        <v>258</v>
      </c>
      <c r="C365" s="2" t="s">
        <v>158</v>
      </c>
      <c r="D365" s="2" cm="1">
        <f t="array" ref="D36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65" s="2">
        <v>6</v>
      </c>
      <c r="F365" s="2">
        <v>3222</v>
      </c>
      <c r="G365" s="2" t="str" cm="1">
        <f t="array" ref="G36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5" s="2">
        <v>16000</v>
      </c>
      <c r="I365" s="3">
        <f>TabelaFretes[[#This Row],[Valor]]/TabelaFretes[[#This Row],[Quilometragem]]</f>
        <v>4.9658597144630665</v>
      </c>
      <c r="J365" s="3">
        <f>TabelaFretes[[#This Row],[Valor]]/TabelaFretes[[#This Row],[Capacidade]]</f>
        <v>500</v>
      </c>
    </row>
    <row r="366" spans="1:10" x14ac:dyDescent="0.3">
      <c r="A366" s="2" t="s">
        <v>250</v>
      </c>
      <c r="B366" s="2" t="s">
        <v>259</v>
      </c>
      <c r="C366" s="2" t="s">
        <v>7</v>
      </c>
      <c r="D366" s="2" cm="1">
        <f t="array" ref="D36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66" s="2">
        <v>3</v>
      </c>
      <c r="F366" s="2">
        <v>2898</v>
      </c>
      <c r="G366" s="2" t="str" cm="1">
        <f t="array" ref="G36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6" s="2">
        <v>8200</v>
      </c>
      <c r="I366" s="3">
        <f>TabelaFretes[[#This Row],[Valor]]/TabelaFretes[[#This Row],[Quilometragem]]</f>
        <v>2.8295376121463076</v>
      </c>
      <c r="J366" s="3">
        <f>TabelaFretes[[#This Row],[Valor]]/TabelaFretes[[#This Row],[Capacidade]]</f>
        <v>585.71428571428567</v>
      </c>
    </row>
    <row r="367" spans="1:10" x14ac:dyDescent="0.3">
      <c r="A367" s="2" t="s">
        <v>250</v>
      </c>
      <c r="B367" s="2" t="s">
        <v>259</v>
      </c>
      <c r="C367" s="2" t="s">
        <v>6</v>
      </c>
      <c r="D367" s="2" cm="1">
        <f t="array" ref="D36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67" s="2">
        <v>5</v>
      </c>
      <c r="F367" s="2">
        <v>2898</v>
      </c>
      <c r="G367" s="2" t="str" cm="1">
        <f t="array" ref="G36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7" s="2">
        <v>16000</v>
      </c>
      <c r="I367" s="3">
        <f>TabelaFretes[[#This Row],[Valor]]/TabelaFretes[[#This Row],[Quilometragem]]</f>
        <v>5.521048999309869</v>
      </c>
      <c r="J367" s="3">
        <f>TabelaFretes[[#This Row],[Valor]]/TabelaFretes[[#This Row],[Capacidade]]</f>
        <v>592.59259259259261</v>
      </c>
    </row>
    <row r="368" spans="1:10" x14ac:dyDescent="0.3">
      <c r="A368" s="2" t="s">
        <v>250</v>
      </c>
      <c r="B368" s="2" t="s">
        <v>259</v>
      </c>
      <c r="C368" s="2" t="s">
        <v>158</v>
      </c>
      <c r="D368" s="2" cm="1">
        <f t="array" ref="D36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68" s="2">
        <v>6</v>
      </c>
      <c r="F368" s="2">
        <v>2898</v>
      </c>
      <c r="G368" s="2" t="str" cm="1">
        <f t="array" ref="G36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8" s="2">
        <v>16000</v>
      </c>
      <c r="I368" s="3">
        <f>TabelaFretes[[#This Row],[Valor]]/TabelaFretes[[#This Row],[Quilometragem]]</f>
        <v>5.521048999309869</v>
      </c>
      <c r="J368" s="3">
        <f>TabelaFretes[[#This Row],[Valor]]/TabelaFretes[[#This Row],[Capacidade]]</f>
        <v>500</v>
      </c>
    </row>
    <row r="369" spans="1:10" x14ac:dyDescent="0.3">
      <c r="A369" s="2" t="s">
        <v>250</v>
      </c>
      <c r="B369" s="2" t="s">
        <v>260</v>
      </c>
      <c r="C369" s="2" t="s">
        <v>7</v>
      </c>
      <c r="D369" s="2" cm="1">
        <f t="array" ref="D36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69" s="2">
        <v>3</v>
      </c>
      <c r="F369" s="2">
        <v>3061</v>
      </c>
      <c r="G369" s="2" t="str" cm="1">
        <f t="array" ref="G36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69" s="2">
        <v>8200</v>
      </c>
      <c r="I369" s="3">
        <f>TabelaFretes[[#This Row],[Valor]]/TabelaFretes[[#This Row],[Quilometragem]]</f>
        <v>2.6788631166285528</v>
      </c>
      <c r="J369" s="3">
        <f>TabelaFretes[[#This Row],[Valor]]/TabelaFretes[[#This Row],[Capacidade]]</f>
        <v>585.71428571428567</v>
      </c>
    </row>
    <row r="370" spans="1:10" x14ac:dyDescent="0.3">
      <c r="A370" s="2" t="s">
        <v>250</v>
      </c>
      <c r="B370" s="2" t="s">
        <v>260</v>
      </c>
      <c r="C370" s="2" t="s">
        <v>6</v>
      </c>
      <c r="D370" s="2" cm="1">
        <f t="array" ref="D37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70" s="2">
        <v>5</v>
      </c>
      <c r="F370" s="2">
        <v>3061</v>
      </c>
      <c r="G370" s="2" t="str" cm="1">
        <f t="array" ref="G37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0" s="2">
        <v>16000</v>
      </c>
      <c r="I370" s="3">
        <f>TabelaFretes[[#This Row],[Valor]]/TabelaFretes[[#This Row],[Quilometragem]]</f>
        <v>5.2270499836654691</v>
      </c>
      <c r="J370" s="3">
        <f>TabelaFretes[[#This Row],[Valor]]/TabelaFretes[[#This Row],[Capacidade]]</f>
        <v>592.59259259259261</v>
      </c>
    </row>
    <row r="371" spans="1:10" x14ac:dyDescent="0.3">
      <c r="A371" s="2" t="s">
        <v>250</v>
      </c>
      <c r="B371" s="2" t="s">
        <v>260</v>
      </c>
      <c r="C371" s="2" t="s">
        <v>158</v>
      </c>
      <c r="D371" s="2" cm="1">
        <f t="array" ref="D37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71" s="2">
        <v>6</v>
      </c>
      <c r="F371" s="2">
        <v>3061</v>
      </c>
      <c r="G371" s="2" t="str" cm="1">
        <f t="array" ref="G37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1" s="2">
        <v>16000</v>
      </c>
      <c r="I371" s="3">
        <f>TabelaFretes[[#This Row],[Valor]]/TabelaFretes[[#This Row],[Quilometragem]]</f>
        <v>5.2270499836654691</v>
      </c>
      <c r="J371" s="3">
        <f>TabelaFretes[[#This Row],[Valor]]/TabelaFretes[[#This Row],[Capacidade]]</f>
        <v>500</v>
      </c>
    </row>
    <row r="372" spans="1:10" x14ac:dyDescent="0.3">
      <c r="A372" s="2" t="s">
        <v>250</v>
      </c>
      <c r="B372" s="2" t="s">
        <v>261</v>
      </c>
      <c r="C372" s="2" t="s">
        <v>7</v>
      </c>
      <c r="D372" s="2" cm="1">
        <f t="array" ref="D37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72" s="2">
        <v>3</v>
      </c>
      <c r="F372" s="2">
        <v>3424</v>
      </c>
      <c r="G372" s="2" t="str" cm="1">
        <f t="array" ref="G37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2" s="2">
        <v>12000</v>
      </c>
      <c r="I372" s="3">
        <f>TabelaFretes[[#This Row],[Valor]]/TabelaFretes[[#This Row],[Quilometragem]]</f>
        <v>3.5046728971962615</v>
      </c>
      <c r="J372" s="3">
        <f>TabelaFretes[[#This Row],[Valor]]/TabelaFretes[[#This Row],[Capacidade]]</f>
        <v>857.14285714285711</v>
      </c>
    </row>
    <row r="373" spans="1:10" x14ac:dyDescent="0.3">
      <c r="A373" s="2" t="s">
        <v>250</v>
      </c>
      <c r="B373" s="2" t="s">
        <v>261</v>
      </c>
      <c r="C373" s="2" t="s">
        <v>6</v>
      </c>
      <c r="D373" s="2" cm="1">
        <f t="array" ref="D37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73" s="2">
        <v>5</v>
      </c>
      <c r="F373" s="2">
        <v>3424</v>
      </c>
      <c r="G373" s="2" t="str" cm="1">
        <f t="array" ref="G37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3" s="2">
        <v>21000</v>
      </c>
      <c r="I373" s="3">
        <f>TabelaFretes[[#This Row],[Valor]]/TabelaFretes[[#This Row],[Quilometragem]]</f>
        <v>6.1331775700934577</v>
      </c>
      <c r="J373" s="3">
        <f>TabelaFretes[[#This Row],[Valor]]/TabelaFretes[[#This Row],[Capacidade]]</f>
        <v>777.77777777777783</v>
      </c>
    </row>
    <row r="374" spans="1:10" x14ac:dyDescent="0.3">
      <c r="A374" s="2" t="s">
        <v>250</v>
      </c>
      <c r="B374" s="2" t="s">
        <v>261</v>
      </c>
      <c r="C374" s="2" t="s">
        <v>158</v>
      </c>
      <c r="D374" s="2" cm="1">
        <f t="array" ref="D37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74" s="2">
        <v>6</v>
      </c>
      <c r="F374" s="2">
        <v>3424</v>
      </c>
      <c r="G374" s="2" t="str" cm="1">
        <f t="array" ref="G37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4" s="2">
        <v>21000</v>
      </c>
      <c r="I374" s="3">
        <f>TabelaFretes[[#This Row],[Valor]]/TabelaFretes[[#This Row],[Quilometragem]]</f>
        <v>6.1331775700934577</v>
      </c>
      <c r="J374" s="3">
        <f>TabelaFretes[[#This Row],[Valor]]/TabelaFretes[[#This Row],[Capacidade]]</f>
        <v>656.25</v>
      </c>
    </row>
    <row r="375" spans="1:10" x14ac:dyDescent="0.3">
      <c r="A375" s="2" t="s">
        <v>250</v>
      </c>
      <c r="B375" s="2" t="s">
        <v>262</v>
      </c>
      <c r="C375" s="2" t="s">
        <v>7</v>
      </c>
      <c r="D375" s="2" cm="1">
        <f t="array" ref="D37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75" s="2">
        <v>3</v>
      </c>
      <c r="F375" s="2">
        <v>3451</v>
      </c>
      <c r="G375" s="2" t="str" cm="1">
        <f t="array" ref="G37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5" s="2">
        <v>11500</v>
      </c>
      <c r="I375" s="3">
        <f>TabelaFretes[[#This Row],[Valor]]/TabelaFretes[[#This Row],[Quilometragem]]</f>
        <v>3.332367429730513</v>
      </c>
      <c r="J375" s="3">
        <f>TabelaFretes[[#This Row],[Valor]]/TabelaFretes[[#This Row],[Capacidade]]</f>
        <v>821.42857142857144</v>
      </c>
    </row>
    <row r="376" spans="1:10" x14ac:dyDescent="0.3">
      <c r="A376" s="2" t="s">
        <v>250</v>
      </c>
      <c r="B376" s="2" t="s">
        <v>262</v>
      </c>
      <c r="C376" s="2" t="s">
        <v>6</v>
      </c>
      <c r="D376" s="2" cm="1">
        <f t="array" ref="D37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76" s="2">
        <v>5</v>
      </c>
      <c r="F376" s="2">
        <v>3451</v>
      </c>
      <c r="G376" s="2" t="str" cm="1">
        <f t="array" ref="G37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6" s="2">
        <v>21000</v>
      </c>
      <c r="I376" s="3">
        <f>TabelaFretes[[#This Row],[Valor]]/TabelaFretes[[#This Row],[Quilometragem]]</f>
        <v>6.0851926977687629</v>
      </c>
      <c r="J376" s="3">
        <f>TabelaFretes[[#This Row],[Valor]]/TabelaFretes[[#This Row],[Capacidade]]</f>
        <v>777.77777777777783</v>
      </c>
    </row>
    <row r="377" spans="1:10" x14ac:dyDescent="0.3">
      <c r="A377" s="2" t="s">
        <v>250</v>
      </c>
      <c r="B377" s="2" t="s">
        <v>262</v>
      </c>
      <c r="C377" s="2" t="s">
        <v>158</v>
      </c>
      <c r="D377" s="2" cm="1">
        <f t="array" ref="D37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77" s="2">
        <v>6</v>
      </c>
      <c r="F377" s="2">
        <v>3451</v>
      </c>
      <c r="G377" s="2" t="str" cm="1">
        <f t="array" ref="G37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7" s="2">
        <v>16000</v>
      </c>
      <c r="I377" s="3">
        <f>TabelaFretes[[#This Row],[Valor]]/TabelaFretes[[#This Row],[Quilometragem]]</f>
        <v>4.6363372935381051</v>
      </c>
      <c r="J377" s="3">
        <f>TabelaFretes[[#This Row],[Valor]]/TabelaFretes[[#This Row],[Capacidade]]</f>
        <v>500</v>
      </c>
    </row>
    <row r="378" spans="1:10" x14ac:dyDescent="0.3">
      <c r="A378" s="2" t="s">
        <v>250</v>
      </c>
      <c r="B378" s="2" t="s">
        <v>263</v>
      </c>
      <c r="C378" s="2" t="s">
        <v>7</v>
      </c>
      <c r="D378" s="2" cm="1">
        <f t="array" ref="D37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78" s="2">
        <v>3</v>
      </c>
      <c r="F378" s="2">
        <v>2999</v>
      </c>
      <c r="G378" s="2" t="str" cm="1">
        <f t="array" ref="G37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8" s="2">
        <v>8200</v>
      </c>
      <c r="I378" s="3">
        <f>TabelaFretes[[#This Row],[Valor]]/TabelaFretes[[#This Row],[Quilometragem]]</f>
        <v>2.7342447482494165</v>
      </c>
      <c r="J378" s="3">
        <f>TabelaFretes[[#This Row],[Valor]]/TabelaFretes[[#This Row],[Capacidade]]</f>
        <v>585.71428571428567</v>
      </c>
    </row>
    <row r="379" spans="1:10" x14ac:dyDescent="0.3">
      <c r="A379" s="2" t="s">
        <v>250</v>
      </c>
      <c r="B379" s="2" t="s">
        <v>263</v>
      </c>
      <c r="C379" s="2" t="s">
        <v>6</v>
      </c>
      <c r="D379" s="2" cm="1">
        <f t="array" ref="D37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79" s="2">
        <v>5</v>
      </c>
      <c r="F379" s="2">
        <v>2999</v>
      </c>
      <c r="G379" s="2" t="str" cm="1">
        <f t="array" ref="G37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79" s="2">
        <v>16000</v>
      </c>
      <c r="I379" s="3">
        <f>TabelaFretes[[#This Row],[Valor]]/TabelaFretes[[#This Row],[Quilometragem]]</f>
        <v>5.3351117039013003</v>
      </c>
      <c r="J379" s="3">
        <f>TabelaFretes[[#This Row],[Valor]]/TabelaFretes[[#This Row],[Capacidade]]</f>
        <v>592.59259259259261</v>
      </c>
    </row>
    <row r="380" spans="1:10" x14ac:dyDescent="0.3">
      <c r="A380" s="2" t="s">
        <v>250</v>
      </c>
      <c r="B380" s="2" t="s">
        <v>263</v>
      </c>
      <c r="C380" s="2" t="s">
        <v>158</v>
      </c>
      <c r="D380" s="2" cm="1">
        <f t="array" ref="D38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80" s="2">
        <v>6</v>
      </c>
      <c r="F380" s="2">
        <v>2999</v>
      </c>
      <c r="G380" s="2" t="str" cm="1">
        <f t="array" ref="G38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0" s="2">
        <v>16000</v>
      </c>
      <c r="I380" s="3">
        <f>TabelaFretes[[#This Row],[Valor]]/TabelaFretes[[#This Row],[Quilometragem]]</f>
        <v>5.3351117039013003</v>
      </c>
      <c r="J380" s="3">
        <f>TabelaFretes[[#This Row],[Valor]]/TabelaFretes[[#This Row],[Capacidade]]</f>
        <v>500</v>
      </c>
    </row>
    <row r="381" spans="1:10" x14ac:dyDescent="0.3">
      <c r="A381" s="2" t="s">
        <v>250</v>
      </c>
      <c r="B381" s="2" t="s">
        <v>264</v>
      </c>
      <c r="C381" s="2" t="s">
        <v>7</v>
      </c>
      <c r="D381" s="2" cm="1">
        <f t="array" ref="D38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81" s="2">
        <v>3</v>
      </c>
      <c r="F381" s="2">
        <v>2938</v>
      </c>
      <c r="G381" s="2" t="str" cm="1">
        <f t="array" ref="G38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1" s="2">
        <v>8200</v>
      </c>
      <c r="I381" s="3">
        <f>TabelaFretes[[#This Row],[Valor]]/TabelaFretes[[#This Row],[Quilometragem]]</f>
        <v>2.7910142954390742</v>
      </c>
      <c r="J381" s="3">
        <f>TabelaFretes[[#This Row],[Valor]]/TabelaFretes[[#This Row],[Capacidade]]</f>
        <v>585.71428571428567</v>
      </c>
    </row>
    <row r="382" spans="1:10" x14ac:dyDescent="0.3">
      <c r="A382" s="2" t="s">
        <v>250</v>
      </c>
      <c r="B382" s="2" t="s">
        <v>264</v>
      </c>
      <c r="C382" s="2" t="s">
        <v>6</v>
      </c>
      <c r="D382" s="2" cm="1">
        <f t="array" ref="D38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82" s="2">
        <v>5</v>
      </c>
      <c r="F382" s="2">
        <v>2938</v>
      </c>
      <c r="G382" s="2" t="str" cm="1">
        <f t="array" ref="G38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2" s="2">
        <v>16000</v>
      </c>
      <c r="I382" s="3">
        <f>TabelaFretes[[#This Row],[Valor]]/TabelaFretes[[#This Row],[Quilometragem]]</f>
        <v>5.4458815520762425</v>
      </c>
      <c r="J382" s="3">
        <f>TabelaFretes[[#This Row],[Valor]]/TabelaFretes[[#This Row],[Capacidade]]</f>
        <v>592.59259259259261</v>
      </c>
    </row>
    <row r="383" spans="1:10" x14ac:dyDescent="0.3">
      <c r="A383" s="2" t="s">
        <v>250</v>
      </c>
      <c r="B383" s="2" t="s">
        <v>264</v>
      </c>
      <c r="C383" s="2" t="s">
        <v>158</v>
      </c>
      <c r="D383" s="2" cm="1">
        <f t="array" ref="D38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83" s="2">
        <v>6</v>
      </c>
      <c r="F383" s="2">
        <v>2938</v>
      </c>
      <c r="G383" s="2" t="str" cm="1">
        <f t="array" ref="G38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3" s="2">
        <v>16000</v>
      </c>
      <c r="I383" s="3">
        <f>TabelaFretes[[#This Row],[Valor]]/TabelaFretes[[#This Row],[Quilometragem]]</f>
        <v>5.4458815520762425</v>
      </c>
      <c r="J383" s="3">
        <f>TabelaFretes[[#This Row],[Valor]]/TabelaFretes[[#This Row],[Capacidade]]</f>
        <v>500</v>
      </c>
    </row>
    <row r="384" spans="1:10" x14ac:dyDescent="0.3">
      <c r="A384" s="2" t="s">
        <v>250</v>
      </c>
      <c r="B384" s="2" t="s">
        <v>265</v>
      </c>
      <c r="C384" s="2" t="s">
        <v>7</v>
      </c>
      <c r="D384" s="2" cm="1">
        <f t="array" ref="D38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84" s="2">
        <v>3</v>
      </c>
      <c r="F384" s="2">
        <v>3325</v>
      </c>
      <c r="G384" s="2" t="str" cm="1">
        <f t="array" ref="G38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4" s="2">
        <v>11500</v>
      </c>
      <c r="I384" s="3">
        <f>TabelaFretes[[#This Row],[Valor]]/TabelaFretes[[#This Row],[Quilometragem]]</f>
        <v>3.4586466165413534</v>
      </c>
      <c r="J384" s="3">
        <f>TabelaFretes[[#This Row],[Valor]]/TabelaFretes[[#This Row],[Capacidade]]</f>
        <v>821.42857142857144</v>
      </c>
    </row>
    <row r="385" spans="1:10" x14ac:dyDescent="0.3">
      <c r="A385" s="2" t="s">
        <v>250</v>
      </c>
      <c r="B385" s="2" t="s">
        <v>265</v>
      </c>
      <c r="C385" s="2" t="s">
        <v>6</v>
      </c>
      <c r="D385" s="2" cm="1">
        <f t="array" ref="D38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85" s="2">
        <v>5</v>
      </c>
      <c r="F385" s="2">
        <v>3325</v>
      </c>
      <c r="G385" s="2" t="str" cm="1">
        <f t="array" ref="G38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5" s="2">
        <v>16000</v>
      </c>
      <c r="I385" s="3">
        <f>TabelaFretes[[#This Row],[Valor]]/TabelaFretes[[#This Row],[Quilometragem]]</f>
        <v>4.8120300751879697</v>
      </c>
      <c r="J385" s="3">
        <f>TabelaFretes[[#This Row],[Valor]]/TabelaFretes[[#This Row],[Capacidade]]</f>
        <v>592.59259259259261</v>
      </c>
    </row>
    <row r="386" spans="1:10" x14ac:dyDescent="0.3">
      <c r="A386" s="2" t="s">
        <v>250</v>
      </c>
      <c r="B386" s="2" t="s">
        <v>265</v>
      </c>
      <c r="C386" s="2" t="s">
        <v>158</v>
      </c>
      <c r="D386" s="2" cm="1">
        <f t="array" ref="D38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86" s="2">
        <v>6</v>
      </c>
      <c r="F386" s="2">
        <v>3325</v>
      </c>
      <c r="G386" s="2" t="str" cm="1">
        <f t="array" ref="G38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6" s="2">
        <v>16000</v>
      </c>
      <c r="I386" s="3">
        <f>TabelaFretes[[#This Row],[Valor]]/TabelaFretes[[#This Row],[Quilometragem]]</f>
        <v>4.8120300751879697</v>
      </c>
      <c r="J386" s="3">
        <f>TabelaFretes[[#This Row],[Valor]]/TabelaFretes[[#This Row],[Capacidade]]</f>
        <v>500</v>
      </c>
    </row>
    <row r="387" spans="1:10" x14ac:dyDescent="0.3">
      <c r="A387" s="2" t="s">
        <v>250</v>
      </c>
      <c r="B387" s="2" t="s">
        <v>266</v>
      </c>
      <c r="C387" s="2" t="s">
        <v>7</v>
      </c>
      <c r="D387" s="2" cm="1">
        <f t="array" ref="D38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87" s="2">
        <v>3</v>
      </c>
      <c r="F387" s="2">
        <v>3021</v>
      </c>
      <c r="G387" s="2" t="str" cm="1">
        <f t="array" ref="G38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7" s="2">
        <v>8200</v>
      </c>
      <c r="I387" s="3">
        <f>TabelaFretes[[#This Row],[Valor]]/TabelaFretes[[#This Row],[Quilometragem]]</f>
        <v>2.7143330023171135</v>
      </c>
      <c r="J387" s="3">
        <f>TabelaFretes[[#This Row],[Valor]]/TabelaFretes[[#This Row],[Capacidade]]</f>
        <v>585.71428571428567</v>
      </c>
    </row>
    <row r="388" spans="1:10" x14ac:dyDescent="0.3">
      <c r="A388" s="2" t="s">
        <v>250</v>
      </c>
      <c r="B388" s="2" t="s">
        <v>266</v>
      </c>
      <c r="C388" s="2" t="s">
        <v>6</v>
      </c>
      <c r="D388" s="2" cm="1">
        <f t="array" ref="D38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88" s="2">
        <v>5</v>
      </c>
      <c r="F388" s="2">
        <v>3021</v>
      </c>
      <c r="G388" s="2" t="str" cm="1">
        <f t="array" ref="G38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8" s="2">
        <v>16000</v>
      </c>
      <c r="I388" s="3">
        <f>TabelaFretes[[#This Row],[Valor]]/TabelaFretes[[#This Row],[Quilometragem]]</f>
        <v>5.2962595167163187</v>
      </c>
      <c r="J388" s="3">
        <f>TabelaFretes[[#This Row],[Valor]]/TabelaFretes[[#This Row],[Capacidade]]</f>
        <v>592.59259259259261</v>
      </c>
    </row>
    <row r="389" spans="1:10" x14ac:dyDescent="0.3">
      <c r="A389" s="2" t="s">
        <v>250</v>
      </c>
      <c r="B389" s="2" t="s">
        <v>266</v>
      </c>
      <c r="C389" s="2" t="s">
        <v>158</v>
      </c>
      <c r="D389" s="2" cm="1">
        <f t="array" ref="D38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89" s="2">
        <v>6</v>
      </c>
      <c r="F389" s="2">
        <v>3021</v>
      </c>
      <c r="G389" s="2" t="str" cm="1">
        <f t="array" ref="G38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89" s="2">
        <v>16000</v>
      </c>
      <c r="I389" s="3">
        <f>TabelaFretes[[#This Row],[Valor]]/TabelaFretes[[#This Row],[Quilometragem]]</f>
        <v>5.2962595167163187</v>
      </c>
      <c r="J389" s="3">
        <f>TabelaFretes[[#This Row],[Valor]]/TabelaFretes[[#This Row],[Capacidade]]</f>
        <v>500</v>
      </c>
    </row>
    <row r="390" spans="1:10" x14ac:dyDescent="0.3">
      <c r="A390" s="2" t="s">
        <v>250</v>
      </c>
      <c r="B390" s="2" t="s">
        <v>267</v>
      </c>
      <c r="C390" s="2" t="s">
        <v>7</v>
      </c>
      <c r="D390" s="2" cm="1">
        <f t="array" ref="D39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90" s="2">
        <v>3</v>
      </c>
      <c r="F390" s="2">
        <v>3007</v>
      </c>
      <c r="G390" s="2" t="str" cm="1">
        <f t="array" ref="G39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0" s="2">
        <v>8200</v>
      </c>
      <c r="I390" s="3">
        <f>TabelaFretes[[#This Row],[Valor]]/TabelaFretes[[#This Row],[Quilometragem]]</f>
        <v>2.726970402394413</v>
      </c>
      <c r="J390" s="3">
        <f>TabelaFretes[[#This Row],[Valor]]/TabelaFretes[[#This Row],[Capacidade]]</f>
        <v>585.71428571428567</v>
      </c>
    </row>
    <row r="391" spans="1:10" x14ac:dyDescent="0.3">
      <c r="A391" s="2" t="s">
        <v>250</v>
      </c>
      <c r="B391" s="2" t="s">
        <v>267</v>
      </c>
      <c r="C391" s="2" t="s">
        <v>6</v>
      </c>
      <c r="D391" s="2" cm="1">
        <f t="array" ref="D39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91" s="2">
        <v>5</v>
      </c>
      <c r="F391" s="2">
        <v>3007</v>
      </c>
      <c r="G391" s="2" t="str" cm="1">
        <f t="array" ref="G39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1" s="2">
        <v>16000</v>
      </c>
      <c r="I391" s="3">
        <f>TabelaFretes[[#This Row],[Valor]]/TabelaFretes[[#This Row],[Quilometragem]]</f>
        <v>5.3209178583305619</v>
      </c>
      <c r="J391" s="3">
        <f>TabelaFretes[[#This Row],[Valor]]/TabelaFretes[[#This Row],[Capacidade]]</f>
        <v>592.59259259259261</v>
      </c>
    </row>
    <row r="392" spans="1:10" x14ac:dyDescent="0.3">
      <c r="A392" s="2" t="s">
        <v>250</v>
      </c>
      <c r="B392" s="2" t="s">
        <v>267</v>
      </c>
      <c r="C392" s="2" t="s">
        <v>158</v>
      </c>
      <c r="D392" s="2" cm="1">
        <f t="array" ref="D39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92" s="2">
        <v>6</v>
      </c>
      <c r="F392" s="2">
        <v>3007</v>
      </c>
      <c r="G392" s="2" t="str" cm="1">
        <f t="array" ref="G39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2" s="2">
        <v>16000</v>
      </c>
      <c r="I392" s="3">
        <f>TabelaFretes[[#This Row],[Valor]]/TabelaFretes[[#This Row],[Quilometragem]]</f>
        <v>5.3209178583305619</v>
      </c>
      <c r="J392" s="3">
        <f>TabelaFretes[[#This Row],[Valor]]/TabelaFretes[[#This Row],[Capacidade]]</f>
        <v>500</v>
      </c>
    </row>
    <row r="393" spans="1:10" x14ac:dyDescent="0.3">
      <c r="A393" s="2" t="s">
        <v>250</v>
      </c>
      <c r="B393" s="2" t="s">
        <v>268</v>
      </c>
      <c r="C393" s="2" t="s">
        <v>7</v>
      </c>
      <c r="D393" s="2" cm="1">
        <f t="array" ref="D39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93" s="2">
        <v>3</v>
      </c>
      <c r="F393" s="2">
        <v>3433</v>
      </c>
      <c r="G393" s="2" t="str" cm="1">
        <f t="array" ref="G39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3" s="2">
        <v>11500</v>
      </c>
      <c r="I393" s="3">
        <f>TabelaFretes[[#This Row],[Valor]]/TabelaFretes[[#This Row],[Quilometragem]]</f>
        <v>3.3498397902709001</v>
      </c>
      <c r="J393" s="3">
        <f>TabelaFretes[[#This Row],[Valor]]/TabelaFretes[[#This Row],[Capacidade]]</f>
        <v>821.42857142857144</v>
      </c>
    </row>
    <row r="394" spans="1:10" x14ac:dyDescent="0.3">
      <c r="A394" s="2" t="s">
        <v>250</v>
      </c>
      <c r="B394" s="2" t="s">
        <v>268</v>
      </c>
      <c r="C394" s="2" t="s">
        <v>6</v>
      </c>
      <c r="D394" s="2" cm="1">
        <f t="array" ref="D39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94" s="2">
        <v>5</v>
      </c>
      <c r="F394" s="2">
        <v>3433</v>
      </c>
      <c r="G394" s="2" t="str" cm="1">
        <f t="array" ref="G39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4" s="2">
        <v>21000</v>
      </c>
      <c r="I394" s="3">
        <f>TabelaFretes[[#This Row],[Valor]]/TabelaFretes[[#This Row],[Quilometragem]]</f>
        <v>6.1170987474512089</v>
      </c>
      <c r="J394" s="3">
        <f>TabelaFretes[[#This Row],[Valor]]/TabelaFretes[[#This Row],[Capacidade]]</f>
        <v>777.77777777777783</v>
      </c>
    </row>
    <row r="395" spans="1:10" x14ac:dyDescent="0.3">
      <c r="A395" s="2" t="s">
        <v>250</v>
      </c>
      <c r="B395" s="2" t="s">
        <v>268</v>
      </c>
      <c r="C395" s="2" t="s">
        <v>158</v>
      </c>
      <c r="D395" s="2" cm="1">
        <f t="array" ref="D39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95" s="2">
        <v>6</v>
      </c>
      <c r="F395" s="2">
        <v>3433</v>
      </c>
      <c r="G395" s="2" t="str" cm="1">
        <f t="array" ref="G39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5" s="2">
        <v>21000</v>
      </c>
      <c r="I395" s="3">
        <f>TabelaFretes[[#This Row],[Valor]]/TabelaFretes[[#This Row],[Quilometragem]]</f>
        <v>6.1170987474512089</v>
      </c>
      <c r="J395" s="3">
        <f>TabelaFretes[[#This Row],[Valor]]/TabelaFretes[[#This Row],[Capacidade]]</f>
        <v>656.25</v>
      </c>
    </row>
    <row r="396" spans="1:10" x14ac:dyDescent="0.3">
      <c r="A396" s="2" t="s">
        <v>250</v>
      </c>
      <c r="B396" s="2" t="s">
        <v>269</v>
      </c>
      <c r="C396" s="2" t="s">
        <v>7</v>
      </c>
      <c r="D396" s="2" cm="1">
        <f t="array" ref="D39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96" s="2">
        <v>3</v>
      </c>
      <c r="F396" s="2">
        <v>3054</v>
      </c>
      <c r="G396" s="2" t="str" cm="1">
        <f t="array" ref="G39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6" s="2">
        <v>8200</v>
      </c>
      <c r="I396" s="3">
        <f>TabelaFretes[[#This Row],[Valor]]/TabelaFretes[[#This Row],[Quilometragem]]</f>
        <v>2.6850032743942371</v>
      </c>
      <c r="J396" s="3">
        <f>TabelaFretes[[#This Row],[Valor]]/TabelaFretes[[#This Row],[Capacidade]]</f>
        <v>585.71428571428567</v>
      </c>
    </row>
    <row r="397" spans="1:10" x14ac:dyDescent="0.3">
      <c r="A397" s="2" t="s">
        <v>250</v>
      </c>
      <c r="B397" s="2" t="s">
        <v>269</v>
      </c>
      <c r="C397" s="2" t="s">
        <v>6</v>
      </c>
      <c r="D397" s="2" cm="1">
        <f t="array" ref="D39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397" s="2">
        <v>5</v>
      </c>
      <c r="F397" s="2">
        <v>3054</v>
      </c>
      <c r="G397" s="2" t="str" cm="1">
        <f t="array" ref="G39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7" s="2">
        <v>16000</v>
      </c>
      <c r="I397" s="3">
        <f>TabelaFretes[[#This Row],[Valor]]/TabelaFretes[[#This Row],[Quilometragem]]</f>
        <v>5.2390307793058284</v>
      </c>
      <c r="J397" s="3">
        <f>TabelaFretes[[#This Row],[Valor]]/TabelaFretes[[#This Row],[Capacidade]]</f>
        <v>592.59259259259261</v>
      </c>
    </row>
    <row r="398" spans="1:10" x14ac:dyDescent="0.3">
      <c r="A398" s="2" t="s">
        <v>250</v>
      </c>
      <c r="B398" s="2" t="s">
        <v>269</v>
      </c>
      <c r="C398" s="2" t="s">
        <v>158</v>
      </c>
      <c r="D398" s="2" cm="1">
        <f t="array" ref="D39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398" s="2">
        <v>6</v>
      </c>
      <c r="F398" s="2">
        <v>3054</v>
      </c>
      <c r="G398" s="2" t="str" cm="1">
        <f t="array" ref="G39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8" s="2">
        <v>16000</v>
      </c>
      <c r="I398" s="3">
        <f>TabelaFretes[[#This Row],[Valor]]/TabelaFretes[[#This Row],[Quilometragem]]</f>
        <v>5.2390307793058284</v>
      </c>
      <c r="J398" s="3">
        <f>TabelaFretes[[#This Row],[Valor]]/TabelaFretes[[#This Row],[Capacidade]]</f>
        <v>500</v>
      </c>
    </row>
    <row r="399" spans="1:10" x14ac:dyDescent="0.3">
      <c r="A399" s="2" t="s">
        <v>250</v>
      </c>
      <c r="B399" s="2" t="s">
        <v>270</v>
      </c>
      <c r="C399" s="2" t="s">
        <v>7</v>
      </c>
      <c r="D399" s="2" cm="1">
        <f t="array" ref="D39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399" s="2">
        <v>3</v>
      </c>
      <c r="F399" s="2">
        <v>2890</v>
      </c>
      <c r="G399" s="2" t="str" cm="1">
        <f t="array" ref="G39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399" s="2">
        <v>8200</v>
      </c>
      <c r="I399" s="3">
        <f>TabelaFretes[[#This Row],[Valor]]/TabelaFretes[[#This Row],[Quilometragem]]</f>
        <v>2.8373702422145328</v>
      </c>
      <c r="J399" s="3">
        <f>TabelaFretes[[#This Row],[Valor]]/TabelaFretes[[#This Row],[Capacidade]]</f>
        <v>585.71428571428567</v>
      </c>
    </row>
    <row r="400" spans="1:10" x14ac:dyDescent="0.3">
      <c r="A400" s="2" t="s">
        <v>250</v>
      </c>
      <c r="B400" s="2" t="s">
        <v>270</v>
      </c>
      <c r="C400" s="2" t="s">
        <v>6</v>
      </c>
      <c r="D400" s="2" cm="1">
        <f t="array" ref="D40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00" s="2">
        <v>5</v>
      </c>
      <c r="F400" s="2">
        <v>2890</v>
      </c>
      <c r="G400" s="2" t="str" cm="1">
        <f t="array" ref="G40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0" s="2">
        <v>16000</v>
      </c>
      <c r="I400" s="3">
        <f>TabelaFretes[[#This Row],[Valor]]/TabelaFretes[[#This Row],[Quilometragem]]</f>
        <v>5.5363321799307954</v>
      </c>
      <c r="J400" s="3">
        <f>TabelaFretes[[#This Row],[Valor]]/TabelaFretes[[#This Row],[Capacidade]]</f>
        <v>592.59259259259261</v>
      </c>
    </row>
    <row r="401" spans="1:10" x14ac:dyDescent="0.3">
      <c r="A401" s="2" t="s">
        <v>250</v>
      </c>
      <c r="B401" s="2" t="s">
        <v>270</v>
      </c>
      <c r="C401" s="2" t="s">
        <v>158</v>
      </c>
      <c r="D401" s="2" cm="1">
        <f t="array" ref="D40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01" s="2">
        <v>6</v>
      </c>
      <c r="F401" s="2">
        <v>2890</v>
      </c>
      <c r="G401" s="2" t="str" cm="1">
        <f t="array" ref="G40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1" s="2">
        <v>16000</v>
      </c>
      <c r="I401" s="3">
        <f>TabelaFretes[[#This Row],[Valor]]/TabelaFretes[[#This Row],[Quilometragem]]</f>
        <v>5.5363321799307954</v>
      </c>
      <c r="J401" s="3">
        <f>TabelaFretes[[#This Row],[Valor]]/TabelaFretes[[#This Row],[Capacidade]]</f>
        <v>500</v>
      </c>
    </row>
    <row r="402" spans="1:10" x14ac:dyDescent="0.3">
      <c r="A402" s="2" t="s">
        <v>250</v>
      </c>
      <c r="B402" s="2" t="s">
        <v>271</v>
      </c>
      <c r="C402" s="2" t="s">
        <v>7</v>
      </c>
      <c r="D402" s="2" cm="1">
        <f t="array" ref="D40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02" s="2">
        <v>3</v>
      </c>
      <c r="F402" s="2">
        <v>3072</v>
      </c>
      <c r="G402" s="2" t="str" cm="1">
        <f t="array" ref="G40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2" s="2">
        <v>8200</v>
      </c>
      <c r="I402" s="3">
        <f>TabelaFretes[[#This Row],[Valor]]/TabelaFretes[[#This Row],[Quilometragem]]</f>
        <v>2.6692708333333335</v>
      </c>
      <c r="J402" s="3">
        <f>TabelaFretes[[#This Row],[Valor]]/TabelaFretes[[#This Row],[Capacidade]]</f>
        <v>585.71428571428567</v>
      </c>
    </row>
    <row r="403" spans="1:10" x14ac:dyDescent="0.3">
      <c r="A403" s="2" t="s">
        <v>250</v>
      </c>
      <c r="B403" s="2" t="s">
        <v>271</v>
      </c>
      <c r="C403" s="2" t="s">
        <v>6</v>
      </c>
      <c r="D403" s="2" cm="1">
        <f t="array" ref="D40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03" s="2">
        <v>5</v>
      </c>
      <c r="F403" s="2">
        <v>3072</v>
      </c>
      <c r="G403" s="2" t="str" cm="1">
        <f t="array" ref="G40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3" s="2">
        <v>16000</v>
      </c>
      <c r="I403" s="3">
        <f>TabelaFretes[[#This Row],[Valor]]/TabelaFretes[[#This Row],[Quilometragem]]</f>
        <v>5.208333333333333</v>
      </c>
      <c r="J403" s="3">
        <f>TabelaFretes[[#This Row],[Valor]]/TabelaFretes[[#This Row],[Capacidade]]</f>
        <v>592.59259259259261</v>
      </c>
    </row>
    <row r="404" spans="1:10" x14ac:dyDescent="0.3">
      <c r="A404" s="2" t="s">
        <v>250</v>
      </c>
      <c r="B404" s="2" t="s">
        <v>271</v>
      </c>
      <c r="C404" s="2" t="s">
        <v>158</v>
      </c>
      <c r="D404" s="2" cm="1">
        <f t="array" ref="D40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04" s="2">
        <v>6</v>
      </c>
      <c r="F404" s="2">
        <v>3072</v>
      </c>
      <c r="G404" s="2" t="str" cm="1">
        <f t="array" ref="G40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4" s="2">
        <v>16000</v>
      </c>
      <c r="I404" s="3">
        <f>TabelaFretes[[#This Row],[Valor]]/TabelaFretes[[#This Row],[Quilometragem]]</f>
        <v>5.208333333333333</v>
      </c>
      <c r="J404" s="3">
        <f>TabelaFretes[[#This Row],[Valor]]/TabelaFretes[[#This Row],[Capacidade]]</f>
        <v>500</v>
      </c>
    </row>
    <row r="405" spans="1:10" x14ac:dyDescent="0.3">
      <c r="A405" s="2" t="s">
        <v>250</v>
      </c>
      <c r="B405" s="2" t="s">
        <v>272</v>
      </c>
      <c r="C405" s="2" t="s">
        <v>7</v>
      </c>
      <c r="D405" s="2" cm="1">
        <f t="array" ref="D40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05" s="2">
        <v>3</v>
      </c>
      <c r="F405" s="2">
        <v>3382</v>
      </c>
      <c r="G405" s="2" t="str" cm="1">
        <f t="array" ref="G40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5" s="2">
        <v>12000</v>
      </c>
      <c r="I405" s="3">
        <f>TabelaFretes[[#This Row],[Valor]]/TabelaFretes[[#This Row],[Quilometragem]]</f>
        <v>3.5481963335304552</v>
      </c>
      <c r="J405" s="3">
        <f>TabelaFretes[[#This Row],[Valor]]/TabelaFretes[[#This Row],[Capacidade]]</f>
        <v>857.14285714285711</v>
      </c>
    </row>
    <row r="406" spans="1:10" x14ac:dyDescent="0.3">
      <c r="A406" s="2" t="s">
        <v>250</v>
      </c>
      <c r="B406" s="2" t="s">
        <v>272</v>
      </c>
      <c r="C406" s="2" t="s">
        <v>6</v>
      </c>
      <c r="D406" s="2" cm="1">
        <f t="array" ref="D40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06" s="2">
        <v>5</v>
      </c>
      <c r="F406" s="2">
        <v>3382</v>
      </c>
      <c r="G406" s="2" t="str" cm="1">
        <f t="array" ref="G40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6" s="2">
        <v>22000</v>
      </c>
      <c r="I406" s="3">
        <f>TabelaFretes[[#This Row],[Valor]]/TabelaFretes[[#This Row],[Quilometragem]]</f>
        <v>6.5050266114725011</v>
      </c>
      <c r="J406" s="3">
        <f>TabelaFretes[[#This Row],[Valor]]/TabelaFretes[[#This Row],[Capacidade]]</f>
        <v>814.81481481481478</v>
      </c>
    </row>
    <row r="407" spans="1:10" x14ac:dyDescent="0.3">
      <c r="A407" s="2" t="s">
        <v>250</v>
      </c>
      <c r="B407" s="2" t="s">
        <v>272</v>
      </c>
      <c r="C407" s="2" t="s">
        <v>158</v>
      </c>
      <c r="D407" s="2" cm="1">
        <f t="array" ref="D40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07" s="2">
        <v>6</v>
      </c>
      <c r="F407" s="2">
        <v>3382</v>
      </c>
      <c r="G407" s="2" t="str" cm="1">
        <f t="array" ref="G40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7" s="2">
        <v>22000</v>
      </c>
      <c r="I407" s="3">
        <f>TabelaFretes[[#This Row],[Valor]]/TabelaFretes[[#This Row],[Quilometragem]]</f>
        <v>6.5050266114725011</v>
      </c>
      <c r="J407" s="3">
        <f>TabelaFretes[[#This Row],[Valor]]/TabelaFretes[[#This Row],[Capacidade]]</f>
        <v>687.5</v>
      </c>
    </row>
    <row r="408" spans="1:10" x14ac:dyDescent="0.3">
      <c r="A408" s="2" t="s">
        <v>250</v>
      </c>
      <c r="B408" s="2" t="s">
        <v>273</v>
      </c>
      <c r="C408" s="2" t="s">
        <v>7</v>
      </c>
      <c r="D408" s="2" cm="1">
        <f t="array" ref="D40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08" s="2">
        <v>3</v>
      </c>
      <c r="F408" s="2">
        <v>3012</v>
      </c>
      <c r="G408" s="2" t="str" cm="1">
        <f t="array" ref="G40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8" s="2">
        <v>8200</v>
      </c>
      <c r="I408" s="3">
        <f>TabelaFretes[[#This Row],[Valor]]/TabelaFretes[[#This Row],[Quilometragem]]</f>
        <v>2.7224435590969454</v>
      </c>
      <c r="J408" s="3">
        <f>TabelaFretes[[#This Row],[Valor]]/TabelaFretes[[#This Row],[Capacidade]]</f>
        <v>585.71428571428567</v>
      </c>
    </row>
    <row r="409" spans="1:10" x14ac:dyDescent="0.3">
      <c r="A409" s="2" t="s">
        <v>250</v>
      </c>
      <c r="B409" s="2" t="s">
        <v>273</v>
      </c>
      <c r="C409" s="2" t="s">
        <v>6</v>
      </c>
      <c r="D409" s="2" cm="1">
        <f t="array" ref="D40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09" s="2">
        <v>5</v>
      </c>
      <c r="F409" s="2">
        <v>3012</v>
      </c>
      <c r="G409" s="2" t="str" cm="1">
        <f t="array" ref="G40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09" s="2">
        <v>16000</v>
      </c>
      <c r="I409" s="3">
        <f>TabelaFretes[[#This Row],[Valor]]/TabelaFretes[[#This Row],[Quilometragem]]</f>
        <v>5.3120849933598935</v>
      </c>
      <c r="J409" s="3">
        <f>TabelaFretes[[#This Row],[Valor]]/TabelaFretes[[#This Row],[Capacidade]]</f>
        <v>592.59259259259261</v>
      </c>
    </row>
    <row r="410" spans="1:10" x14ac:dyDescent="0.3">
      <c r="A410" s="2" t="s">
        <v>250</v>
      </c>
      <c r="B410" s="2" t="s">
        <v>273</v>
      </c>
      <c r="C410" s="2" t="s">
        <v>158</v>
      </c>
      <c r="D410" s="2" cm="1">
        <f t="array" ref="D41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10" s="2">
        <v>6</v>
      </c>
      <c r="F410" s="2">
        <v>3014</v>
      </c>
      <c r="G410" s="2" t="str" cm="1">
        <f t="array" ref="G41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10" s="2">
        <v>16000</v>
      </c>
      <c r="I410" s="3">
        <f>TabelaFretes[[#This Row],[Valor]]/TabelaFretes[[#This Row],[Quilometragem]]</f>
        <v>5.3085600530856007</v>
      </c>
      <c r="J410" s="3">
        <f>TabelaFretes[[#This Row],[Valor]]/TabelaFretes[[#This Row],[Capacidade]]</f>
        <v>500</v>
      </c>
    </row>
    <row r="411" spans="1:10" x14ac:dyDescent="0.3">
      <c r="A411" s="2" t="s">
        <v>250</v>
      </c>
      <c r="B411" s="2" t="s">
        <v>273</v>
      </c>
      <c r="C411" s="2" t="s">
        <v>274</v>
      </c>
      <c r="D411" s="2" cm="1">
        <f t="array" ref="D41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50</v>
      </c>
      <c r="E411" s="2">
        <v>9</v>
      </c>
      <c r="F411" s="2">
        <v>3012</v>
      </c>
      <c r="G411" s="2" t="str" cm="1">
        <f t="array" ref="G41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11" s="2">
        <v>24500</v>
      </c>
      <c r="I411" s="3">
        <f>TabelaFretes[[#This Row],[Valor]]/TabelaFretes[[#This Row],[Quilometragem]]</f>
        <v>8.1341301460823381</v>
      </c>
      <c r="J411" s="3">
        <f>TabelaFretes[[#This Row],[Valor]]/TabelaFretes[[#This Row],[Capacidade]]</f>
        <v>490</v>
      </c>
    </row>
    <row r="412" spans="1:10" x14ac:dyDescent="0.3">
      <c r="A412" s="2" t="s">
        <v>250</v>
      </c>
      <c r="B412" s="2" t="s">
        <v>275</v>
      </c>
      <c r="C412" s="2" t="s">
        <v>7</v>
      </c>
      <c r="D412" s="2" cm="1">
        <f t="array" ref="D41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12" s="2">
        <v>3</v>
      </c>
      <c r="F412" s="2">
        <v>3114</v>
      </c>
      <c r="G412" s="2" t="str" cm="1">
        <f t="array" ref="G41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12" s="2">
        <v>11500</v>
      </c>
      <c r="I412" s="3">
        <f>TabelaFretes[[#This Row],[Valor]]/TabelaFretes[[#This Row],[Quilometragem]]</f>
        <v>3.6929993577392421</v>
      </c>
      <c r="J412" s="3">
        <f>TabelaFretes[[#This Row],[Valor]]/TabelaFretes[[#This Row],[Capacidade]]</f>
        <v>821.42857142857144</v>
      </c>
    </row>
    <row r="413" spans="1:10" x14ac:dyDescent="0.3">
      <c r="A413" s="2" t="s">
        <v>250</v>
      </c>
      <c r="B413" s="2" t="s">
        <v>275</v>
      </c>
      <c r="C413" s="2" t="s">
        <v>6</v>
      </c>
      <c r="D413" s="2" cm="1">
        <f t="array" ref="D41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13" s="2">
        <v>5</v>
      </c>
      <c r="F413" s="2">
        <v>3114</v>
      </c>
      <c r="G413" s="2" t="str" cm="1">
        <f t="array" ref="G41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13" s="2">
        <v>18000</v>
      </c>
      <c r="I413" s="3">
        <f>TabelaFretes[[#This Row],[Valor]]/TabelaFretes[[#This Row],[Quilometragem]]</f>
        <v>5.7803468208092488</v>
      </c>
      <c r="J413" s="3">
        <f>TabelaFretes[[#This Row],[Valor]]/TabelaFretes[[#This Row],[Capacidade]]</f>
        <v>666.66666666666663</v>
      </c>
    </row>
    <row r="414" spans="1:10" x14ac:dyDescent="0.3">
      <c r="A414" s="2" t="s">
        <v>250</v>
      </c>
      <c r="B414" s="2" t="s">
        <v>275</v>
      </c>
      <c r="C414" s="2" t="s">
        <v>158</v>
      </c>
      <c r="D414" s="2" cm="1">
        <f t="array" ref="D41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14" s="2">
        <v>6</v>
      </c>
      <c r="F414" s="2">
        <v>3114</v>
      </c>
      <c r="G414" s="2" t="str" cm="1">
        <f t="array" ref="G41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14" s="2">
        <v>18000</v>
      </c>
      <c r="I414" s="3">
        <f>TabelaFretes[[#This Row],[Valor]]/TabelaFretes[[#This Row],[Quilometragem]]</f>
        <v>5.7803468208092488</v>
      </c>
      <c r="J414" s="3">
        <f>TabelaFretes[[#This Row],[Valor]]/TabelaFretes[[#This Row],[Capacidade]]</f>
        <v>562.5</v>
      </c>
    </row>
    <row r="415" spans="1:10" x14ac:dyDescent="0.3">
      <c r="A415" s="2" t="s">
        <v>201</v>
      </c>
      <c r="B415" s="2" t="s">
        <v>202</v>
      </c>
      <c r="C415" s="2" t="s">
        <v>7</v>
      </c>
      <c r="D415" s="2" cm="1">
        <f t="array" ref="D41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15" s="2">
        <v>3</v>
      </c>
      <c r="F415" s="2">
        <v>2170</v>
      </c>
      <c r="G415" s="2" t="str" cm="1">
        <f t="array" ref="G41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15" s="2">
        <v>7700</v>
      </c>
      <c r="I415" s="3">
        <f>TabelaFretes[[#This Row],[Valor]]/TabelaFretes[[#This Row],[Quilometragem]]</f>
        <v>3.5483870967741935</v>
      </c>
      <c r="J415" s="3">
        <f>TabelaFretes[[#This Row],[Valor]]/TabelaFretes[[#This Row],[Capacidade]]</f>
        <v>550</v>
      </c>
    </row>
    <row r="416" spans="1:10" x14ac:dyDescent="0.3">
      <c r="A416" s="2" t="s">
        <v>201</v>
      </c>
      <c r="B416" s="2" t="s">
        <v>202</v>
      </c>
      <c r="C416" s="2" t="s">
        <v>6</v>
      </c>
      <c r="D416" s="2" cm="1">
        <f t="array" ref="D41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16" s="2">
        <v>5</v>
      </c>
      <c r="F416" s="2">
        <v>2170</v>
      </c>
      <c r="G416" s="2" t="str" cm="1">
        <f t="array" ref="G41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16" s="2">
        <v>14000</v>
      </c>
      <c r="I416" s="3">
        <f>TabelaFretes[[#This Row],[Valor]]/TabelaFretes[[#This Row],[Quilometragem]]</f>
        <v>6.4516129032258061</v>
      </c>
      <c r="J416" s="3">
        <f>TabelaFretes[[#This Row],[Valor]]/TabelaFretes[[#This Row],[Capacidade]]</f>
        <v>518.51851851851848</v>
      </c>
    </row>
    <row r="417" spans="1:10" x14ac:dyDescent="0.3">
      <c r="A417" s="2" t="s">
        <v>201</v>
      </c>
      <c r="B417" s="2" t="s">
        <v>202</v>
      </c>
      <c r="C417" s="2" t="s">
        <v>158</v>
      </c>
      <c r="D417" s="2" cm="1">
        <f t="array" ref="D41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17" s="2">
        <v>6</v>
      </c>
      <c r="F417" s="2">
        <v>2170</v>
      </c>
      <c r="G417" s="2" t="str" cm="1">
        <f t="array" ref="G41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17" s="2">
        <v>14000</v>
      </c>
      <c r="I417" s="3">
        <f>TabelaFretes[[#This Row],[Valor]]/TabelaFretes[[#This Row],[Quilometragem]]</f>
        <v>6.4516129032258061</v>
      </c>
      <c r="J417" s="3">
        <f>TabelaFretes[[#This Row],[Valor]]/TabelaFretes[[#This Row],[Capacidade]]</f>
        <v>437.5</v>
      </c>
    </row>
    <row r="418" spans="1:10" x14ac:dyDescent="0.3">
      <c r="A418" s="2" t="s">
        <v>44</v>
      </c>
      <c r="B418" s="2" t="s">
        <v>45</v>
      </c>
      <c r="C418" s="2" t="s">
        <v>7</v>
      </c>
      <c r="D418" s="2" cm="1">
        <f t="array" ref="D41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18" s="2">
        <v>3</v>
      </c>
      <c r="F418" s="2">
        <v>483</v>
      </c>
      <c r="G418" s="2" t="str" cm="1">
        <f t="array" ref="G41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18" s="2">
        <v>2500</v>
      </c>
      <c r="I418" s="3">
        <f>TabelaFretes[[#This Row],[Valor]]/TabelaFretes[[#This Row],[Quilometragem]]</f>
        <v>5.1759834368530022</v>
      </c>
      <c r="J418" s="3">
        <f>TabelaFretes[[#This Row],[Valor]]/TabelaFretes[[#This Row],[Capacidade]]</f>
        <v>178.57142857142858</v>
      </c>
    </row>
    <row r="419" spans="1:10" x14ac:dyDescent="0.3">
      <c r="A419" s="2" t="s">
        <v>44</v>
      </c>
      <c r="B419" s="2" t="s">
        <v>46</v>
      </c>
      <c r="C419" s="2" t="s">
        <v>7</v>
      </c>
      <c r="D419" s="2" cm="1">
        <f t="array" ref="D41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19" s="2">
        <v>3</v>
      </c>
      <c r="F419" s="2">
        <v>333</v>
      </c>
      <c r="G419" s="2" t="str" cm="1">
        <f t="array" ref="G41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19" s="2">
        <v>2000</v>
      </c>
      <c r="I419" s="3">
        <f>TabelaFretes[[#This Row],[Valor]]/TabelaFretes[[#This Row],[Quilometragem]]</f>
        <v>6.0060060060060056</v>
      </c>
      <c r="J419" s="3">
        <f>TabelaFretes[[#This Row],[Valor]]/TabelaFretes[[#This Row],[Capacidade]]</f>
        <v>142.85714285714286</v>
      </c>
    </row>
    <row r="420" spans="1:10" x14ac:dyDescent="0.3">
      <c r="A420" s="2" t="s">
        <v>44</v>
      </c>
      <c r="B420" s="2" t="s">
        <v>48</v>
      </c>
      <c r="C420" s="2" t="s">
        <v>7</v>
      </c>
      <c r="D420" s="2" cm="1">
        <f t="array" ref="D42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20" s="2">
        <v>3</v>
      </c>
      <c r="F420" s="2">
        <v>297</v>
      </c>
      <c r="G420" s="2" t="str" cm="1">
        <f t="array" ref="G42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420" s="2">
        <v>1800</v>
      </c>
      <c r="I420" s="3">
        <f>TabelaFretes[[#This Row],[Valor]]/TabelaFretes[[#This Row],[Quilometragem]]</f>
        <v>6.0606060606060606</v>
      </c>
      <c r="J420" s="3">
        <f>TabelaFretes[[#This Row],[Valor]]/TabelaFretes[[#This Row],[Capacidade]]</f>
        <v>128.57142857142858</v>
      </c>
    </row>
    <row r="421" spans="1:10" x14ac:dyDescent="0.3">
      <c r="A421" s="2" t="s">
        <v>44</v>
      </c>
      <c r="B421" s="2" t="s">
        <v>49</v>
      </c>
      <c r="C421" s="2" t="s">
        <v>7</v>
      </c>
      <c r="D421" s="2" cm="1">
        <f t="array" ref="D42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21" s="2">
        <v>3</v>
      </c>
      <c r="F421" s="2">
        <v>548</v>
      </c>
      <c r="G421" s="2" t="str" cm="1">
        <f t="array" ref="G42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21" s="2">
        <v>2600</v>
      </c>
      <c r="I421" s="3">
        <f>TabelaFretes[[#This Row],[Valor]]/TabelaFretes[[#This Row],[Quilometragem]]</f>
        <v>4.7445255474452557</v>
      </c>
      <c r="J421" s="3">
        <f>TabelaFretes[[#This Row],[Valor]]/TabelaFretes[[#This Row],[Capacidade]]</f>
        <v>185.71428571428572</v>
      </c>
    </row>
    <row r="422" spans="1:10" x14ac:dyDescent="0.3">
      <c r="A422" s="2" t="s">
        <v>44</v>
      </c>
      <c r="B422" s="2" t="s">
        <v>50</v>
      </c>
      <c r="C422" s="2" t="s">
        <v>7</v>
      </c>
      <c r="D422" s="2" cm="1">
        <f t="array" ref="D42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22" s="2">
        <v>3</v>
      </c>
      <c r="F422" s="2">
        <v>302</v>
      </c>
      <c r="G422" s="2" t="str" cm="1">
        <f t="array" ref="G42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22" s="2">
        <v>1800</v>
      </c>
      <c r="I422" s="3">
        <f>TabelaFretes[[#This Row],[Valor]]/TabelaFretes[[#This Row],[Quilometragem]]</f>
        <v>5.9602649006622519</v>
      </c>
      <c r="J422" s="3">
        <f>TabelaFretes[[#This Row],[Valor]]/TabelaFretes[[#This Row],[Capacidade]]</f>
        <v>128.57142857142858</v>
      </c>
    </row>
    <row r="423" spans="1:10" x14ac:dyDescent="0.3">
      <c r="A423" s="2" t="s">
        <v>44</v>
      </c>
      <c r="B423" s="2" t="s">
        <v>50</v>
      </c>
      <c r="C423" s="2" t="s">
        <v>9</v>
      </c>
      <c r="D423" s="2" cm="1">
        <f t="array" ref="D42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423" s="2">
        <v>4</v>
      </c>
      <c r="F423" s="2">
        <v>302</v>
      </c>
      <c r="G423" s="2" t="str" cm="1">
        <f t="array" ref="G42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23" s="2">
        <v>2100</v>
      </c>
      <c r="I423" s="3">
        <f>TabelaFretes[[#This Row],[Valor]]/TabelaFretes[[#This Row],[Quilometragem]]</f>
        <v>6.9536423841059607</v>
      </c>
      <c r="J423" s="3">
        <f>TabelaFretes[[#This Row],[Valor]]/TabelaFretes[[#This Row],[Capacidade]]</f>
        <v>110.52631578947368</v>
      </c>
    </row>
    <row r="424" spans="1:10" x14ac:dyDescent="0.3">
      <c r="A424" s="2" t="s">
        <v>44</v>
      </c>
      <c r="B424" s="2" t="s">
        <v>50</v>
      </c>
      <c r="C424" s="2" t="s">
        <v>6</v>
      </c>
      <c r="D424" s="2" cm="1">
        <f t="array" ref="D42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24" s="2">
        <v>5</v>
      </c>
      <c r="F424" s="2">
        <v>302</v>
      </c>
      <c r="G424" s="2" t="str" cm="1">
        <f t="array" ref="G42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24" s="2">
        <v>2400</v>
      </c>
      <c r="I424" s="3">
        <f>TabelaFretes[[#This Row],[Valor]]/TabelaFretes[[#This Row],[Quilometragem]]</f>
        <v>7.9470198675496686</v>
      </c>
      <c r="J424" s="3">
        <f>TabelaFretes[[#This Row],[Valor]]/TabelaFretes[[#This Row],[Capacidade]]</f>
        <v>88.888888888888886</v>
      </c>
    </row>
    <row r="425" spans="1:10" x14ac:dyDescent="0.3">
      <c r="A425" s="2" t="s">
        <v>44</v>
      </c>
      <c r="B425" s="2" t="s">
        <v>47</v>
      </c>
      <c r="C425" s="2" t="s">
        <v>7</v>
      </c>
      <c r="D425" s="2" cm="1">
        <f t="array" ref="D42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25" s="2">
        <v>3</v>
      </c>
      <c r="F425" s="2">
        <v>285</v>
      </c>
      <c r="G425" s="2" t="str" cm="1">
        <f t="array" ref="G42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425" s="2">
        <v>1700</v>
      </c>
      <c r="I425" s="3">
        <f>TabelaFretes[[#This Row],[Valor]]/TabelaFretes[[#This Row],[Quilometragem]]</f>
        <v>5.9649122807017543</v>
      </c>
      <c r="J425" s="3">
        <f>TabelaFretes[[#This Row],[Valor]]/TabelaFretes[[#This Row],[Capacidade]]</f>
        <v>121.42857142857143</v>
      </c>
    </row>
    <row r="426" spans="1:10" x14ac:dyDescent="0.3">
      <c r="A426" s="2" t="s">
        <v>44</v>
      </c>
      <c r="B426" s="2" t="s">
        <v>47</v>
      </c>
      <c r="C426" s="2" t="s">
        <v>9</v>
      </c>
      <c r="D426" s="2" cm="1">
        <f t="array" ref="D42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426" s="2">
        <v>4</v>
      </c>
      <c r="F426" s="2">
        <v>285</v>
      </c>
      <c r="G426" s="2" t="str" cm="1">
        <f t="array" ref="G42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426" s="2">
        <v>2100</v>
      </c>
      <c r="I426" s="3">
        <f>TabelaFretes[[#This Row],[Valor]]/TabelaFretes[[#This Row],[Quilometragem]]</f>
        <v>7.3684210526315788</v>
      </c>
      <c r="J426" s="3">
        <f>TabelaFretes[[#This Row],[Valor]]/TabelaFretes[[#This Row],[Capacidade]]</f>
        <v>110.52631578947368</v>
      </c>
    </row>
    <row r="427" spans="1:10" x14ac:dyDescent="0.3">
      <c r="A427" s="2" t="s">
        <v>44</v>
      </c>
      <c r="B427" s="2" t="s">
        <v>51</v>
      </c>
      <c r="C427" s="2" t="s">
        <v>7</v>
      </c>
      <c r="D427" s="2" cm="1">
        <f t="array" ref="D42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27" s="2">
        <v>3</v>
      </c>
      <c r="F427" s="2">
        <v>238</v>
      </c>
      <c r="G427" s="2" t="str" cm="1">
        <f t="array" ref="G42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427" s="2">
        <v>1600</v>
      </c>
      <c r="I427" s="3">
        <f>TabelaFretes[[#This Row],[Valor]]/TabelaFretes[[#This Row],[Quilometragem]]</f>
        <v>6.7226890756302522</v>
      </c>
      <c r="J427" s="3">
        <f>TabelaFretes[[#This Row],[Valor]]/TabelaFretes[[#This Row],[Capacidade]]</f>
        <v>114.28571428571429</v>
      </c>
    </row>
    <row r="428" spans="1:10" x14ac:dyDescent="0.3">
      <c r="A428" s="2" t="s">
        <v>44</v>
      </c>
      <c r="B428" s="2" t="s">
        <v>52</v>
      </c>
      <c r="C428" s="2" t="s">
        <v>7</v>
      </c>
      <c r="D428" s="2" cm="1">
        <f t="array" ref="D42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28" s="2">
        <v>3</v>
      </c>
      <c r="F428" s="2">
        <v>306</v>
      </c>
      <c r="G428" s="2" t="str" cm="1">
        <f t="array" ref="G42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28" s="2">
        <v>1800</v>
      </c>
      <c r="I428" s="3">
        <f>TabelaFretes[[#This Row],[Valor]]/TabelaFretes[[#This Row],[Quilometragem]]</f>
        <v>5.882352941176471</v>
      </c>
      <c r="J428" s="3">
        <f>TabelaFretes[[#This Row],[Valor]]/TabelaFretes[[#This Row],[Capacidade]]</f>
        <v>128.57142857142858</v>
      </c>
    </row>
    <row r="429" spans="1:10" x14ac:dyDescent="0.3">
      <c r="A429" s="2" t="s">
        <v>44</v>
      </c>
      <c r="B429" s="2" t="s">
        <v>53</v>
      </c>
      <c r="C429" s="2" t="s">
        <v>7</v>
      </c>
      <c r="D429" s="2" cm="1">
        <f t="array" ref="D42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29" s="2">
        <v>3</v>
      </c>
      <c r="F429" s="2">
        <v>268</v>
      </c>
      <c r="G429" s="2" t="str" cm="1">
        <f t="array" ref="G42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429" s="2">
        <v>1700</v>
      </c>
      <c r="I429" s="3">
        <f>TabelaFretes[[#This Row],[Valor]]/TabelaFretes[[#This Row],[Quilometragem]]</f>
        <v>6.3432835820895521</v>
      </c>
      <c r="J429" s="3">
        <f>TabelaFretes[[#This Row],[Valor]]/TabelaFretes[[#This Row],[Capacidade]]</f>
        <v>121.42857142857143</v>
      </c>
    </row>
    <row r="430" spans="1:10" x14ac:dyDescent="0.3">
      <c r="A430" s="2" t="s">
        <v>44</v>
      </c>
      <c r="B430" s="2" t="s">
        <v>53</v>
      </c>
      <c r="C430" s="2" t="s">
        <v>6</v>
      </c>
      <c r="D430" s="2" cm="1">
        <f t="array" ref="D43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30" s="2">
        <v>5</v>
      </c>
      <c r="F430" s="2">
        <v>268</v>
      </c>
      <c r="G430" s="2" t="str" cm="1">
        <f t="array" ref="G43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Curta</v>
      </c>
      <c r="H430" s="2">
        <v>2200</v>
      </c>
      <c r="I430" s="3">
        <f>TabelaFretes[[#This Row],[Valor]]/TabelaFretes[[#This Row],[Quilometragem]]</f>
        <v>8.2089552238805972</v>
      </c>
      <c r="J430" s="3">
        <f>TabelaFretes[[#This Row],[Valor]]/TabelaFretes[[#This Row],[Capacidade]]</f>
        <v>81.481481481481481</v>
      </c>
    </row>
    <row r="431" spans="1:10" x14ac:dyDescent="0.3">
      <c r="A431" s="2" t="s">
        <v>276</v>
      </c>
      <c r="B431" s="2" t="s">
        <v>277</v>
      </c>
      <c r="C431" s="2" t="s">
        <v>7</v>
      </c>
      <c r="D431" s="2" cm="1">
        <f t="array" ref="D43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31" s="2">
        <v>3</v>
      </c>
      <c r="F431" s="2">
        <v>3546</v>
      </c>
      <c r="G431" s="2" t="str" cm="1">
        <f t="array" ref="G43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31" s="2">
        <v>11800</v>
      </c>
      <c r="I431" s="3">
        <f>TabelaFretes[[#This Row],[Valor]]/TabelaFretes[[#This Row],[Quilometragem]]</f>
        <v>3.3276931754089114</v>
      </c>
      <c r="J431" s="3">
        <f>TabelaFretes[[#This Row],[Valor]]/TabelaFretes[[#This Row],[Capacidade]]</f>
        <v>842.85714285714289</v>
      </c>
    </row>
    <row r="432" spans="1:10" x14ac:dyDescent="0.3">
      <c r="A432" s="2" t="s">
        <v>276</v>
      </c>
      <c r="B432" s="2" t="s">
        <v>277</v>
      </c>
      <c r="C432" s="2" t="s">
        <v>6</v>
      </c>
      <c r="D432" s="2" cm="1">
        <f t="array" ref="D43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32" s="2">
        <v>5</v>
      </c>
      <c r="F432" s="2">
        <v>3546</v>
      </c>
      <c r="G432" s="2" t="str" cm="1">
        <f t="array" ref="G43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32" s="2">
        <v>16200</v>
      </c>
      <c r="I432" s="3">
        <f>TabelaFretes[[#This Row],[Valor]]/TabelaFretes[[#This Row],[Quilometragem]]</f>
        <v>4.5685279187817258</v>
      </c>
      <c r="J432" s="3">
        <f>TabelaFretes[[#This Row],[Valor]]/TabelaFretes[[#This Row],[Capacidade]]</f>
        <v>600</v>
      </c>
    </row>
    <row r="433" spans="1:10" x14ac:dyDescent="0.3">
      <c r="A433" s="2" t="s">
        <v>276</v>
      </c>
      <c r="B433" s="2" t="s">
        <v>277</v>
      </c>
      <c r="C433" s="2" t="s">
        <v>158</v>
      </c>
      <c r="D433" s="2" cm="1">
        <f t="array" ref="D43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33" s="2">
        <v>6</v>
      </c>
      <c r="F433" s="2">
        <v>3546</v>
      </c>
      <c r="G433" s="2" t="str" cm="1">
        <f t="array" ref="G43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33" s="2">
        <v>16200</v>
      </c>
      <c r="I433" s="3">
        <f>TabelaFretes[[#This Row],[Valor]]/TabelaFretes[[#This Row],[Quilometragem]]</f>
        <v>4.5685279187817258</v>
      </c>
      <c r="J433" s="3">
        <f>TabelaFretes[[#This Row],[Valor]]/TabelaFretes[[#This Row],[Capacidade]]</f>
        <v>506.25</v>
      </c>
    </row>
    <row r="434" spans="1:10" x14ac:dyDescent="0.3">
      <c r="A434" s="2" t="s">
        <v>122</v>
      </c>
      <c r="B434" s="2" t="s">
        <v>123</v>
      </c>
      <c r="C434" s="2" t="s">
        <v>7</v>
      </c>
      <c r="D434" s="2" cm="1">
        <f t="array" ref="D43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34" s="2">
        <v>3</v>
      </c>
      <c r="F434" s="2">
        <v>489</v>
      </c>
      <c r="G434" s="2" t="str" cm="1">
        <f t="array" ref="G43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34" s="2">
        <v>2500</v>
      </c>
      <c r="I434" s="3">
        <f>TabelaFretes[[#This Row],[Valor]]/TabelaFretes[[#This Row],[Quilometragem]]</f>
        <v>5.112474437627812</v>
      </c>
      <c r="J434" s="3">
        <f>TabelaFretes[[#This Row],[Valor]]/TabelaFretes[[#This Row],[Capacidade]]</f>
        <v>178.57142857142858</v>
      </c>
    </row>
    <row r="435" spans="1:10" x14ac:dyDescent="0.3">
      <c r="A435" s="2" t="s">
        <v>122</v>
      </c>
      <c r="B435" s="2" t="s">
        <v>123</v>
      </c>
      <c r="C435" s="2" t="s">
        <v>9</v>
      </c>
      <c r="D435" s="2" cm="1">
        <f t="array" ref="D43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435" s="2">
        <v>4</v>
      </c>
      <c r="F435" s="2">
        <v>489</v>
      </c>
      <c r="G435" s="2" t="str" cm="1">
        <f t="array" ref="G43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35" s="2">
        <v>3400</v>
      </c>
      <c r="I435" s="3">
        <f>TabelaFretes[[#This Row],[Valor]]/TabelaFretes[[#This Row],[Quilometragem]]</f>
        <v>6.9529652351738243</v>
      </c>
      <c r="J435" s="3">
        <f>TabelaFretes[[#This Row],[Valor]]/TabelaFretes[[#This Row],[Capacidade]]</f>
        <v>178.94736842105263</v>
      </c>
    </row>
    <row r="436" spans="1:10" x14ac:dyDescent="0.3">
      <c r="A436" s="2" t="s">
        <v>122</v>
      </c>
      <c r="B436" s="2" t="s">
        <v>124</v>
      </c>
      <c r="C436" s="2" t="s">
        <v>7</v>
      </c>
      <c r="D436" s="2" cm="1">
        <f t="array" ref="D43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36" s="2">
        <v>3</v>
      </c>
      <c r="F436" s="2">
        <v>525</v>
      </c>
      <c r="G436" s="2" t="str" cm="1">
        <f t="array" ref="G43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36" s="2">
        <v>2500</v>
      </c>
      <c r="I436" s="3">
        <f>TabelaFretes[[#This Row],[Valor]]/TabelaFretes[[#This Row],[Quilometragem]]</f>
        <v>4.7619047619047619</v>
      </c>
      <c r="J436" s="3">
        <f>TabelaFretes[[#This Row],[Valor]]/TabelaFretes[[#This Row],[Capacidade]]</f>
        <v>178.57142857142858</v>
      </c>
    </row>
    <row r="437" spans="1:10" x14ac:dyDescent="0.3">
      <c r="A437" s="2" t="s">
        <v>122</v>
      </c>
      <c r="B437" s="2" t="s">
        <v>125</v>
      </c>
      <c r="C437" s="2" t="s">
        <v>7</v>
      </c>
      <c r="D437" s="2" cm="1">
        <f t="array" ref="D43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37" s="2">
        <v>3</v>
      </c>
      <c r="F437" s="2">
        <v>505</v>
      </c>
      <c r="G437" s="2" t="str" cm="1">
        <f t="array" ref="G43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37" s="2">
        <v>2500</v>
      </c>
      <c r="I437" s="3">
        <f>TabelaFretes[[#This Row],[Valor]]/TabelaFretes[[#This Row],[Quilometragem]]</f>
        <v>4.9504950495049505</v>
      </c>
      <c r="J437" s="3">
        <f>TabelaFretes[[#This Row],[Valor]]/TabelaFretes[[#This Row],[Capacidade]]</f>
        <v>178.57142857142858</v>
      </c>
    </row>
    <row r="438" spans="1:10" x14ac:dyDescent="0.3">
      <c r="A438" s="2" t="s">
        <v>122</v>
      </c>
      <c r="B438" s="2" t="s">
        <v>126</v>
      </c>
      <c r="C438" s="2" t="s">
        <v>7</v>
      </c>
      <c r="D438" s="2" cm="1">
        <f t="array" ref="D43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38" s="2">
        <v>3</v>
      </c>
      <c r="F438" s="2">
        <v>550</v>
      </c>
      <c r="G438" s="2" t="str" cm="1">
        <f t="array" ref="G43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38" s="2">
        <v>2500</v>
      </c>
      <c r="I438" s="3">
        <f>TabelaFretes[[#This Row],[Valor]]/TabelaFretes[[#This Row],[Quilometragem]]</f>
        <v>4.5454545454545459</v>
      </c>
      <c r="J438" s="3">
        <f>TabelaFretes[[#This Row],[Valor]]/TabelaFretes[[#This Row],[Capacidade]]</f>
        <v>178.57142857142858</v>
      </c>
    </row>
    <row r="439" spans="1:10" x14ac:dyDescent="0.3">
      <c r="A439" s="2" t="s">
        <v>122</v>
      </c>
      <c r="B439" s="2" t="s">
        <v>127</v>
      </c>
      <c r="C439" s="2" t="s">
        <v>7</v>
      </c>
      <c r="D439" s="2" cm="1">
        <f t="array" ref="D43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39" s="2">
        <v>3</v>
      </c>
      <c r="F439" s="2">
        <v>482</v>
      </c>
      <c r="G439" s="2" t="str" cm="1">
        <f t="array" ref="G43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39" s="2">
        <v>2500</v>
      </c>
      <c r="I439" s="3">
        <f>TabelaFretes[[#This Row],[Valor]]/TabelaFretes[[#This Row],[Quilometragem]]</f>
        <v>5.186721991701245</v>
      </c>
      <c r="J439" s="3">
        <f>TabelaFretes[[#This Row],[Valor]]/TabelaFretes[[#This Row],[Capacidade]]</f>
        <v>178.57142857142858</v>
      </c>
    </row>
    <row r="440" spans="1:10" x14ac:dyDescent="0.3">
      <c r="A440" s="2" t="s">
        <v>122</v>
      </c>
      <c r="B440" s="2" t="s">
        <v>128</v>
      </c>
      <c r="C440" s="2" t="s">
        <v>7</v>
      </c>
      <c r="D440" s="2" cm="1">
        <f t="array" ref="D44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40" s="2">
        <v>3</v>
      </c>
      <c r="F440" s="2">
        <v>475</v>
      </c>
      <c r="G440" s="2" t="str" cm="1">
        <f t="array" ref="G44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40" s="2">
        <v>2500</v>
      </c>
      <c r="I440" s="3">
        <f>TabelaFretes[[#This Row],[Valor]]/TabelaFretes[[#This Row],[Quilometragem]]</f>
        <v>5.2631578947368425</v>
      </c>
      <c r="J440" s="3">
        <f>TabelaFretes[[#This Row],[Valor]]/TabelaFretes[[#This Row],[Capacidade]]</f>
        <v>178.57142857142858</v>
      </c>
    </row>
    <row r="441" spans="1:10" x14ac:dyDescent="0.3">
      <c r="A441" s="2" t="s">
        <v>122</v>
      </c>
      <c r="B441" s="2" t="s">
        <v>128</v>
      </c>
      <c r="C441" s="2" t="s">
        <v>9</v>
      </c>
      <c r="D441" s="2" cm="1">
        <f t="array" ref="D44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441" s="2">
        <v>4</v>
      </c>
      <c r="F441" s="2">
        <v>475</v>
      </c>
      <c r="G441" s="2" t="str" cm="1">
        <f t="array" ref="G44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41" s="2">
        <v>3200</v>
      </c>
      <c r="I441" s="3">
        <f>TabelaFretes[[#This Row],[Valor]]/TabelaFretes[[#This Row],[Quilometragem]]</f>
        <v>6.7368421052631575</v>
      </c>
      <c r="J441" s="3">
        <f>TabelaFretes[[#This Row],[Valor]]/TabelaFretes[[#This Row],[Capacidade]]</f>
        <v>168.42105263157896</v>
      </c>
    </row>
    <row r="442" spans="1:10" x14ac:dyDescent="0.3">
      <c r="A442" s="2" t="s">
        <v>122</v>
      </c>
      <c r="B442" s="2" t="s">
        <v>129</v>
      </c>
      <c r="C442" s="2" t="s">
        <v>7</v>
      </c>
      <c r="D442" s="2" cm="1">
        <f t="array" ref="D44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42" s="2">
        <v>3</v>
      </c>
      <c r="F442" s="2">
        <v>601</v>
      </c>
      <c r="G442" s="2" t="str" cm="1">
        <f t="array" ref="G44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Média</v>
      </c>
      <c r="H442" s="2">
        <v>2800</v>
      </c>
      <c r="I442" s="3">
        <f>TabelaFretes[[#This Row],[Valor]]/TabelaFretes[[#This Row],[Quilometragem]]</f>
        <v>4.6589018302828622</v>
      </c>
      <c r="J442" s="3">
        <f>TabelaFretes[[#This Row],[Valor]]/TabelaFretes[[#This Row],[Capacidade]]</f>
        <v>200</v>
      </c>
    </row>
    <row r="443" spans="1:10" x14ac:dyDescent="0.3">
      <c r="A443" s="2" t="s">
        <v>203</v>
      </c>
      <c r="B443" s="2" t="s">
        <v>204</v>
      </c>
      <c r="C443" s="2" t="s">
        <v>7</v>
      </c>
      <c r="D443" s="2" cm="1">
        <f t="array" ref="D44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43" s="2">
        <v>3</v>
      </c>
      <c r="F443" s="2">
        <v>2662</v>
      </c>
      <c r="G443" s="2" t="str" cm="1">
        <f t="array" ref="G44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43" s="2">
        <v>7700</v>
      </c>
      <c r="I443" s="3">
        <f>TabelaFretes[[#This Row],[Valor]]/TabelaFretes[[#This Row],[Quilometragem]]</f>
        <v>2.8925619834710745</v>
      </c>
      <c r="J443" s="3">
        <f>TabelaFretes[[#This Row],[Valor]]/TabelaFretes[[#This Row],[Capacidade]]</f>
        <v>550</v>
      </c>
    </row>
    <row r="444" spans="1:10" x14ac:dyDescent="0.3">
      <c r="A444" s="2" t="s">
        <v>203</v>
      </c>
      <c r="B444" s="2" t="s">
        <v>204</v>
      </c>
      <c r="C444" s="2" t="s">
        <v>6</v>
      </c>
      <c r="D444" s="2" cm="1">
        <f t="array" ref="D44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44" s="2">
        <v>5</v>
      </c>
      <c r="F444" s="2">
        <v>2662</v>
      </c>
      <c r="G444" s="2" t="str" cm="1">
        <f t="array" ref="G44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44" s="2">
        <v>14000</v>
      </c>
      <c r="I444" s="3">
        <f>TabelaFretes[[#This Row],[Valor]]/TabelaFretes[[#This Row],[Quilometragem]]</f>
        <v>5.2592036063110443</v>
      </c>
      <c r="J444" s="3">
        <f>TabelaFretes[[#This Row],[Valor]]/TabelaFretes[[#This Row],[Capacidade]]</f>
        <v>518.51851851851848</v>
      </c>
    </row>
    <row r="445" spans="1:10" x14ac:dyDescent="0.3">
      <c r="A445" s="2" t="s">
        <v>203</v>
      </c>
      <c r="B445" s="2" t="s">
        <v>204</v>
      </c>
      <c r="C445" s="2" t="s">
        <v>158</v>
      </c>
      <c r="D445" s="2" cm="1">
        <f t="array" ref="D44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45" s="2">
        <v>6</v>
      </c>
      <c r="F445" s="2">
        <v>2662</v>
      </c>
      <c r="G445" s="2" t="str" cm="1">
        <f t="array" ref="G44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45" s="2">
        <v>14000</v>
      </c>
      <c r="I445" s="3">
        <f>TabelaFretes[[#This Row],[Valor]]/TabelaFretes[[#This Row],[Quilometragem]]</f>
        <v>5.2592036063110443</v>
      </c>
      <c r="J445" s="3">
        <f>TabelaFretes[[#This Row],[Valor]]/TabelaFretes[[#This Row],[Capacidade]]</f>
        <v>437.5</v>
      </c>
    </row>
    <row r="446" spans="1:10" x14ac:dyDescent="0.3">
      <c r="A446" s="2" t="s">
        <v>203</v>
      </c>
      <c r="B446" s="2" t="s">
        <v>205</v>
      </c>
      <c r="C446" s="2" t="s">
        <v>7</v>
      </c>
      <c r="D446" s="2" cm="1">
        <f t="array" ref="D44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46" s="2">
        <v>3</v>
      </c>
      <c r="F446" s="2">
        <v>2767</v>
      </c>
      <c r="G446" s="2" t="str" cm="1">
        <f t="array" ref="G44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46" s="2">
        <v>7700</v>
      </c>
      <c r="I446" s="3">
        <f>TabelaFretes[[#This Row],[Valor]]/TabelaFretes[[#This Row],[Quilometragem]]</f>
        <v>2.7827972533429706</v>
      </c>
      <c r="J446" s="3">
        <f>TabelaFretes[[#This Row],[Valor]]/TabelaFretes[[#This Row],[Capacidade]]</f>
        <v>550</v>
      </c>
    </row>
    <row r="447" spans="1:10" x14ac:dyDescent="0.3">
      <c r="A447" s="2" t="s">
        <v>203</v>
      </c>
      <c r="B447" s="2" t="s">
        <v>205</v>
      </c>
      <c r="C447" s="2" t="s">
        <v>6</v>
      </c>
      <c r="D447" s="2" cm="1">
        <f t="array" ref="D44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47" s="2">
        <v>5</v>
      </c>
      <c r="F447" s="2">
        <v>2767</v>
      </c>
      <c r="G447" s="2" t="str" cm="1">
        <f t="array" ref="G44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47" s="2">
        <v>14000</v>
      </c>
      <c r="I447" s="3">
        <f>TabelaFretes[[#This Row],[Valor]]/TabelaFretes[[#This Row],[Quilometragem]]</f>
        <v>5.0596313697144923</v>
      </c>
      <c r="J447" s="3">
        <f>TabelaFretes[[#This Row],[Valor]]/TabelaFretes[[#This Row],[Capacidade]]</f>
        <v>518.51851851851848</v>
      </c>
    </row>
    <row r="448" spans="1:10" x14ac:dyDescent="0.3">
      <c r="A448" s="2" t="s">
        <v>203</v>
      </c>
      <c r="B448" s="2" t="s">
        <v>206</v>
      </c>
      <c r="C448" s="2" t="s">
        <v>6</v>
      </c>
      <c r="D448" s="2" cm="1">
        <f t="array" ref="D44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48" s="2">
        <v>5</v>
      </c>
      <c r="F448" s="2">
        <v>2562</v>
      </c>
      <c r="G448" s="2" t="str" cm="1">
        <f t="array" ref="G44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48" s="2">
        <v>14000</v>
      </c>
      <c r="I448" s="3">
        <f>TabelaFretes[[#This Row],[Valor]]/TabelaFretes[[#This Row],[Quilometragem]]</f>
        <v>5.4644808743169397</v>
      </c>
      <c r="J448" s="3">
        <f>TabelaFretes[[#This Row],[Valor]]/TabelaFretes[[#This Row],[Capacidade]]</f>
        <v>518.51851851851848</v>
      </c>
    </row>
    <row r="449" spans="1:10" x14ac:dyDescent="0.3">
      <c r="A449" s="2" t="s">
        <v>203</v>
      </c>
      <c r="B449" s="2" t="s">
        <v>206</v>
      </c>
      <c r="C449" s="2" t="s">
        <v>158</v>
      </c>
      <c r="D449" s="2" cm="1">
        <f t="array" ref="D44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49" s="2">
        <v>6</v>
      </c>
      <c r="F449" s="2">
        <v>2562</v>
      </c>
      <c r="G449" s="2" t="str" cm="1">
        <f t="array" ref="G44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49" s="2">
        <v>14000</v>
      </c>
      <c r="I449" s="3">
        <f>TabelaFretes[[#This Row],[Valor]]/TabelaFretes[[#This Row],[Quilometragem]]</f>
        <v>5.4644808743169397</v>
      </c>
      <c r="J449" s="3">
        <f>TabelaFretes[[#This Row],[Valor]]/TabelaFretes[[#This Row],[Capacidade]]</f>
        <v>437.5</v>
      </c>
    </row>
    <row r="450" spans="1:10" x14ac:dyDescent="0.3">
      <c r="A450" s="2" t="s">
        <v>203</v>
      </c>
      <c r="B450" s="2" t="s">
        <v>207</v>
      </c>
      <c r="C450" s="2" t="s">
        <v>7</v>
      </c>
      <c r="D450" s="2" cm="1">
        <f t="array" ref="D45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50" s="2">
        <v>3</v>
      </c>
      <c r="F450" s="2">
        <v>2590</v>
      </c>
      <c r="G450" s="2" t="str" cm="1">
        <f t="array" ref="G45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50" s="2">
        <v>7700</v>
      </c>
      <c r="I450" s="3">
        <f>TabelaFretes[[#This Row],[Valor]]/TabelaFretes[[#This Row],[Quilometragem]]</f>
        <v>2.9729729729729728</v>
      </c>
      <c r="J450" s="3">
        <f>TabelaFretes[[#This Row],[Valor]]/TabelaFretes[[#This Row],[Capacidade]]</f>
        <v>550</v>
      </c>
    </row>
    <row r="451" spans="1:10" x14ac:dyDescent="0.3">
      <c r="A451" s="2" t="s">
        <v>203</v>
      </c>
      <c r="B451" s="2" t="s">
        <v>207</v>
      </c>
      <c r="C451" s="2" t="s">
        <v>6</v>
      </c>
      <c r="D451" s="2" cm="1">
        <f t="array" ref="D45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51" s="2">
        <v>5</v>
      </c>
      <c r="F451" s="2">
        <v>2590</v>
      </c>
      <c r="G451" s="2" t="str" cm="1">
        <f t="array" ref="G45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51" s="2">
        <v>14000</v>
      </c>
      <c r="I451" s="3">
        <f>TabelaFretes[[#This Row],[Valor]]/TabelaFretes[[#This Row],[Quilometragem]]</f>
        <v>5.4054054054054053</v>
      </c>
      <c r="J451" s="3">
        <f>TabelaFretes[[#This Row],[Valor]]/TabelaFretes[[#This Row],[Capacidade]]</f>
        <v>518.51851851851848</v>
      </c>
    </row>
    <row r="452" spans="1:10" x14ac:dyDescent="0.3">
      <c r="A452" s="2" t="s">
        <v>203</v>
      </c>
      <c r="B452" s="2" t="s">
        <v>207</v>
      </c>
      <c r="C452" s="2" t="s">
        <v>158</v>
      </c>
      <c r="D452" s="2" cm="1">
        <f t="array" ref="D45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52" s="2">
        <v>6</v>
      </c>
      <c r="F452" s="2">
        <v>2590</v>
      </c>
      <c r="G452" s="2" t="str" cm="1">
        <f t="array" ref="G45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52" s="2">
        <v>14000</v>
      </c>
      <c r="I452" s="3">
        <f>TabelaFretes[[#This Row],[Valor]]/TabelaFretes[[#This Row],[Quilometragem]]</f>
        <v>5.4054054054054053</v>
      </c>
      <c r="J452" s="3">
        <f>TabelaFretes[[#This Row],[Valor]]/TabelaFretes[[#This Row],[Capacidade]]</f>
        <v>437.5</v>
      </c>
    </row>
    <row r="453" spans="1:10" x14ac:dyDescent="0.3">
      <c r="A453" s="2" t="s">
        <v>203</v>
      </c>
      <c r="B453" s="2" t="s">
        <v>208</v>
      </c>
      <c r="C453" s="2" t="s">
        <v>7</v>
      </c>
      <c r="D453" s="2" cm="1">
        <f t="array" ref="D45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53" s="2">
        <v>3</v>
      </c>
      <c r="F453" s="2">
        <v>2595</v>
      </c>
      <c r="G453" s="2" t="str" cm="1">
        <f t="array" ref="G45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53" s="2">
        <v>7700</v>
      </c>
      <c r="I453" s="3">
        <f>TabelaFretes[[#This Row],[Valor]]/TabelaFretes[[#This Row],[Quilometragem]]</f>
        <v>2.9672447013487475</v>
      </c>
      <c r="J453" s="3">
        <f>TabelaFretes[[#This Row],[Valor]]/TabelaFretes[[#This Row],[Capacidade]]</f>
        <v>550</v>
      </c>
    </row>
    <row r="454" spans="1:10" x14ac:dyDescent="0.3">
      <c r="A454" s="2" t="s">
        <v>203</v>
      </c>
      <c r="B454" s="2" t="s">
        <v>208</v>
      </c>
      <c r="C454" s="2" t="s">
        <v>6</v>
      </c>
      <c r="D454" s="2" cm="1">
        <f t="array" ref="D45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54" s="2">
        <v>5</v>
      </c>
      <c r="F454" s="2">
        <v>2595</v>
      </c>
      <c r="G454" s="2" t="str" cm="1">
        <f t="array" ref="G45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54" s="2">
        <v>14000</v>
      </c>
      <c r="I454" s="3">
        <f>TabelaFretes[[#This Row],[Valor]]/TabelaFretes[[#This Row],[Quilometragem]]</f>
        <v>5.3949903660886322</v>
      </c>
      <c r="J454" s="3">
        <f>TabelaFretes[[#This Row],[Valor]]/TabelaFretes[[#This Row],[Capacidade]]</f>
        <v>518.51851851851848</v>
      </c>
    </row>
    <row r="455" spans="1:10" x14ac:dyDescent="0.3">
      <c r="A455" s="2" t="s">
        <v>203</v>
      </c>
      <c r="B455" s="2" t="s">
        <v>208</v>
      </c>
      <c r="C455" s="2" t="s">
        <v>158</v>
      </c>
      <c r="D455" s="2" cm="1">
        <f t="array" ref="D45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55" s="2">
        <v>6</v>
      </c>
      <c r="F455" s="2">
        <v>2595</v>
      </c>
      <c r="G455" s="2" t="str" cm="1">
        <f t="array" ref="G45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55" s="2">
        <v>14000</v>
      </c>
      <c r="I455" s="3">
        <f>TabelaFretes[[#This Row],[Valor]]/TabelaFretes[[#This Row],[Quilometragem]]</f>
        <v>5.3949903660886322</v>
      </c>
      <c r="J455" s="3">
        <f>TabelaFretes[[#This Row],[Valor]]/TabelaFretes[[#This Row],[Capacidade]]</f>
        <v>437.5</v>
      </c>
    </row>
    <row r="456" spans="1:10" x14ac:dyDescent="0.3">
      <c r="A456" s="2" t="s">
        <v>203</v>
      </c>
      <c r="B456" s="2" t="s">
        <v>209</v>
      </c>
      <c r="C456" s="2" t="s">
        <v>7</v>
      </c>
      <c r="D456" s="2" cm="1">
        <f t="array" ref="D45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56" s="2">
        <v>3</v>
      </c>
      <c r="F456" s="2">
        <v>2683</v>
      </c>
      <c r="G456" s="2" t="str" cm="1">
        <f t="array" ref="G45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56" s="2">
        <v>7700</v>
      </c>
      <c r="I456" s="3">
        <f>TabelaFretes[[#This Row],[Valor]]/TabelaFretes[[#This Row],[Quilometragem]]</f>
        <v>2.86992172940738</v>
      </c>
      <c r="J456" s="3">
        <f>TabelaFretes[[#This Row],[Valor]]/TabelaFretes[[#This Row],[Capacidade]]</f>
        <v>550</v>
      </c>
    </row>
    <row r="457" spans="1:10" x14ac:dyDescent="0.3">
      <c r="A457" s="2" t="s">
        <v>203</v>
      </c>
      <c r="B457" s="2" t="s">
        <v>209</v>
      </c>
      <c r="C457" s="2" t="s">
        <v>6</v>
      </c>
      <c r="D457" s="2" cm="1">
        <f t="array" ref="D45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57" s="2">
        <v>5</v>
      </c>
      <c r="F457" s="2">
        <v>2683</v>
      </c>
      <c r="G457" s="2" t="str" cm="1">
        <f t="array" ref="G45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57" s="2">
        <v>14000</v>
      </c>
      <c r="I457" s="3">
        <f>TabelaFretes[[#This Row],[Valor]]/TabelaFretes[[#This Row],[Quilometragem]]</f>
        <v>5.2180395080134181</v>
      </c>
      <c r="J457" s="3">
        <f>TabelaFretes[[#This Row],[Valor]]/TabelaFretes[[#This Row],[Capacidade]]</f>
        <v>518.51851851851848</v>
      </c>
    </row>
    <row r="458" spans="1:10" x14ac:dyDescent="0.3">
      <c r="A458" s="2" t="s">
        <v>203</v>
      </c>
      <c r="B458" s="2" t="s">
        <v>209</v>
      </c>
      <c r="C458" s="2" t="s">
        <v>158</v>
      </c>
      <c r="D458" s="2" cm="1">
        <f t="array" ref="D45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58" s="2">
        <v>6</v>
      </c>
      <c r="F458" s="2">
        <v>2683</v>
      </c>
      <c r="G458" s="2" t="str" cm="1">
        <f t="array" ref="G45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58" s="2">
        <v>14000</v>
      </c>
      <c r="I458" s="3">
        <f>TabelaFretes[[#This Row],[Valor]]/TabelaFretes[[#This Row],[Quilometragem]]</f>
        <v>5.2180395080134181</v>
      </c>
      <c r="J458" s="3">
        <f>TabelaFretes[[#This Row],[Valor]]/TabelaFretes[[#This Row],[Capacidade]]</f>
        <v>437.5</v>
      </c>
    </row>
    <row r="459" spans="1:10" x14ac:dyDescent="0.3">
      <c r="A459" s="2" t="s">
        <v>203</v>
      </c>
      <c r="B459" s="2" t="s">
        <v>210</v>
      </c>
      <c r="C459" s="2" t="s">
        <v>7</v>
      </c>
      <c r="D459" s="2" cm="1">
        <f t="array" ref="D45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59" s="2">
        <v>3</v>
      </c>
      <c r="F459" s="2">
        <v>2710</v>
      </c>
      <c r="G459" s="2" t="str" cm="1">
        <f t="array" ref="G45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59" s="2">
        <v>7700</v>
      </c>
      <c r="I459" s="3">
        <f>TabelaFretes[[#This Row],[Valor]]/TabelaFretes[[#This Row],[Quilometragem]]</f>
        <v>2.841328413284133</v>
      </c>
      <c r="J459" s="3">
        <f>TabelaFretes[[#This Row],[Valor]]/TabelaFretes[[#This Row],[Capacidade]]</f>
        <v>550</v>
      </c>
    </row>
    <row r="460" spans="1:10" x14ac:dyDescent="0.3">
      <c r="A460" s="2" t="s">
        <v>203</v>
      </c>
      <c r="B460" s="2" t="s">
        <v>210</v>
      </c>
      <c r="C460" s="2" t="s">
        <v>6</v>
      </c>
      <c r="D460" s="2" cm="1">
        <f t="array" ref="D46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60" s="2">
        <v>5</v>
      </c>
      <c r="F460" s="2">
        <v>2710</v>
      </c>
      <c r="G460" s="2" t="str" cm="1">
        <f t="array" ref="G46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60" s="2">
        <v>14000</v>
      </c>
      <c r="I460" s="3">
        <f>TabelaFretes[[#This Row],[Valor]]/TabelaFretes[[#This Row],[Quilometragem]]</f>
        <v>5.1660516605166054</v>
      </c>
      <c r="J460" s="3">
        <f>TabelaFretes[[#This Row],[Valor]]/TabelaFretes[[#This Row],[Capacidade]]</f>
        <v>518.51851851851848</v>
      </c>
    </row>
    <row r="461" spans="1:10" x14ac:dyDescent="0.3">
      <c r="A461" s="2" t="s">
        <v>203</v>
      </c>
      <c r="B461" s="2" t="s">
        <v>210</v>
      </c>
      <c r="C461" s="2" t="s">
        <v>158</v>
      </c>
      <c r="D461" s="2" cm="1">
        <f t="array" ref="D46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61" s="2">
        <v>6</v>
      </c>
      <c r="F461" s="2">
        <v>2710</v>
      </c>
      <c r="G461" s="2" t="str" cm="1">
        <f t="array" ref="G46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61" s="2">
        <v>14000</v>
      </c>
      <c r="I461" s="3">
        <f>TabelaFretes[[#This Row],[Valor]]/TabelaFretes[[#This Row],[Quilometragem]]</f>
        <v>5.1660516605166054</v>
      </c>
      <c r="J461" s="3">
        <f>TabelaFretes[[#This Row],[Valor]]/TabelaFretes[[#This Row],[Capacidade]]</f>
        <v>437.5</v>
      </c>
    </row>
    <row r="462" spans="1:10" x14ac:dyDescent="0.3">
      <c r="A462" s="2" t="s">
        <v>203</v>
      </c>
      <c r="B462" s="2" t="s">
        <v>211</v>
      </c>
      <c r="C462" s="2" t="s">
        <v>7</v>
      </c>
      <c r="D462" s="2" cm="1">
        <f t="array" ref="D46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62" s="2">
        <v>3</v>
      </c>
      <c r="F462" s="2">
        <v>2625</v>
      </c>
      <c r="G462" s="2" t="str" cm="1">
        <f t="array" ref="G46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62" s="2">
        <v>7700</v>
      </c>
      <c r="I462" s="3">
        <f>TabelaFretes[[#This Row],[Valor]]/TabelaFretes[[#This Row],[Quilometragem]]</f>
        <v>2.9333333333333331</v>
      </c>
      <c r="J462" s="3">
        <f>TabelaFretes[[#This Row],[Valor]]/TabelaFretes[[#This Row],[Capacidade]]</f>
        <v>550</v>
      </c>
    </row>
    <row r="463" spans="1:10" x14ac:dyDescent="0.3">
      <c r="A463" s="2" t="s">
        <v>203</v>
      </c>
      <c r="B463" s="2" t="s">
        <v>211</v>
      </c>
      <c r="C463" s="2" t="s">
        <v>6</v>
      </c>
      <c r="D463" s="2" cm="1">
        <f t="array" ref="D46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63" s="2">
        <v>5</v>
      </c>
      <c r="F463" s="2">
        <v>2625</v>
      </c>
      <c r="G463" s="2" t="str" cm="1">
        <f t="array" ref="G46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63" s="2">
        <v>14000</v>
      </c>
      <c r="I463" s="3">
        <f>TabelaFretes[[#This Row],[Valor]]/TabelaFretes[[#This Row],[Quilometragem]]</f>
        <v>5.333333333333333</v>
      </c>
      <c r="J463" s="3">
        <f>TabelaFretes[[#This Row],[Valor]]/TabelaFretes[[#This Row],[Capacidade]]</f>
        <v>518.51851851851848</v>
      </c>
    </row>
    <row r="464" spans="1:10" x14ac:dyDescent="0.3">
      <c r="A464" s="2" t="s">
        <v>203</v>
      </c>
      <c r="B464" s="2" t="s">
        <v>211</v>
      </c>
      <c r="C464" s="2" t="s">
        <v>158</v>
      </c>
      <c r="D464" s="2" cm="1">
        <f t="array" ref="D46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64" s="2">
        <v>6</v>
      </c>
      <c r="F464" s="2">
        <v>2625</v>
      </c>
      <c r="G464" s="2" t="str" cm="1">
        <f t="array" ref="G46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64" s="2">
        <v>14000</v>
      </c>
      <c r="I464" s="3">
        <f>TabelaFretes[[#This Row],[Valor]]/TabelaFretes[[#This Row],[Quilometragem]]</f>
        <v>5.333333333333333</v>
      </c>
      <c r="J464" s="3">
        <f>TabelaFretes[[#This Row],[Valor]]/TabelaFretes[[#This Row],[Capacidade]]</f>
        <v>437.5</v>
      </c>
    </row>
    <row r="465" spans="1:10" x14ac:dyDescent="0.3">
      <c r="A465" s="2" t="s">
        <v>203</v>
      </c>
      <c r="B465" s="2" t="s">
        <v>212</v>
      </c>
      <c r="C465" s="2" t="s">
        <v>7</v>
      </c>
      <c r="D465" s="2" cm="1">
        <f t="array" ref="D46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65" s="2">
        <v>3</v>
      </c>
      <c r="F465" s="2">
        <v>2671</v>
      </c>
      <c r="G465" s="2" t="str" cm="1">
        <f t="array" ref="G46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65" s="2">
        <v>7700</v>
      </c>
      <c r="I465" s="3">
        <f>TabelaFretes[[#This Row],[Valor]]/TabelaFretes[[#This Row],[Quilometragem]]</f>
        <v>2.8828154249344813</v>
      </c>
      <c r="J465" s="3">
        <f>TabelaFretes[[#This Row],[Valor]]/TabelaFretes[[#This Row],[Capacidade]]</f>
        <v>550</v>
      </c>
    </row>
    <row r="466" spans="1:10" x14ac:dyDescent="0.3">
      <c r="A466" s="2" t="s">
        <v>203</v>
      </c>
      <c r="B466" s="2" t="s">
        <v>212</v>
      </c>
      <c r="C466" s="2" t="s">
        <v>6</v>
      </c>
      <c r="D466" s="2" cm="1">
        <f t="array" ref="D46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66" s="2">
        <v>5</v>
      </c>
      <c r="F466" s="2">
        <v>2671</v>
      </c>
      <c r="G466" s="2" t="str" cm="1">
        <f t="array" ref="G46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66" s="2">
        <v>14000</v>
      </c>
      <c r="I466" s="3">
        <f>TabelaFretes[[#This Row],[Valor]]/TabelaFretes[[#This Row],[Quilometragem]]</f>
        <v>5.2414825907899667</v>
      </c>
      <c r="J466" s="3">
        <f>TabelaFretes[[#This Row],[Valor]]/TabelaFretes[[#This Row],[Capacidade]]</f>
        <v>518.51851851851848</v>
      </c>
    </row>
    <row r="467" spans="1:10" x14ac:dyDescent="0.3">
      <c r="A467" s="2" t="s">
        <v>203</v>
      </c>
      <c r="B467" s="2" t="s">
        <v>212</v>
      </c>
      <c r="C467" s="2" t="s">
        <v>158</v>
      </c>
      <c r="D467" s="2" cm="1">
        <f t="array" ref="D46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67" s="2">
        <v>6</v>
      </c>
      <c r="F467" s="2">
        <v>2671</v>
      </c>
      <c r="G467" s="2" t="str" cm="1">
        <f t="array" ref="G46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67" s="2">
        <v>14000</v>
      </c>
      <c r="I467" s="3">
        <f>TabelaFretes[[#This Row],[Valor]]/TabelaFretes[[#This Row],[Quilometragem]]</f>
        <v>5.2414825907899667</v>
      </c>
      <c r="J467" s="3">
        <f>TabelaFretes[[#This Row],[Valor]]/TabelaFretes[[#This Row],[Capacidade]]</f>
        <v>437.5</v>
      </c>
    </row>
    <row r="468" spans="1:10" x14ac:dyDescent="0.3">
      <c r="A468" s="2" t="s">
        <v>203</v>
      </c>
      <c r="B468" s="2" t="s">
        <v>213</v>
      </c>
      <c r="C468" s="2" t="s">
        <v>7</v>
      </c>
      <c r="D468" s="2" cm="1">
        <f t="array" ref="D46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68" s="2">
        <v>3</v>
      </c>
      <c r="F468" s="2">
        <v>2689</v>
      </c>
      <c r="G468" s="2" t="str" cm="1">
        <f t="array" ref="G46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68" s="2">
        <v>7700</v>
      </c>
      <c r="I468" s="3">
        <f>TabelaFretes[[#This Row],[Valor]]/TabelaFretes[[#This Row],[Quilometragem]]</f>
        <v>2.8635180364447752</v>
      </c>
      <c r="J468" s="3">
        <f>TabelaFretes[[#This Row],[Valor]]/TabelaFretes[[#This Row],[Capacidade]]</f>
        <v>550</v>
      </c>
    </row>
    <row r="469" spans="1:10" x14ac:dyDescent="0.3">
      <c r="A469" s="2" t="s">
        <v>203</v>
      </c>
      <c r="B469" s="2" t="s">
        <v>213</v>
      </c>
      <c r="C469" s="2" t="s">
        <v>6</v>
      </c>
      <c r="D469" s="2" cm="1">
        <f t="array" ref="D46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69" s="2">
        <v>5</v>
      </c>
      <c r="F469" s="2">
        <v>2689</v>
      </c>
      <c r="G469" s="2" t="str" cm="1">
        <f t="array" ref="G46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69" s="2">
        <v>14000</v>
      </c>
      <c r="I469" s="3">
        <f>TabelaFretes[[#This Row],[Valor]]/TabelaFretes[[#This Row],[Quilometragem]]</f>
        <v>5.2063964298995913</v>
      </c>
      <c r="J469" s="3">
        <f>TabelaFretes[[#This Row],[Valor]]/TabelaFretes[[#This Row],[Capacidade]]</f>
        <v>518.51851851851848</v>
      </c>
    </row>
    <row r="470" spans="1:10" x14ac:dyDescent="0.3">
      <c r="A470" s="2" t="s">
        <v>203</v>
      </c>
      <c r="B470" s="2" t="s">
        <v>213</v>
      </c>
      <c r="C470" s="2" t="s">
        <v>158</v>
      </c>
      <c r="D470" s="2" cm="1">
        <f t="array" ref="D47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70" s="2">
        <v>6</v>
      </c>
      <c r="F470" s="2">
        <v>2689</v>
      </c>
      <c r="G470" s="2" t="str" cm="1">
        <f t="array" ref="G47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70" s="2">
        <v>14000</v>
      </c>
      <c r="I470" s="3">
        <f>TabelaFretes[[#This Row],[Valor]]/TabelaFretes[[#This Row],[Quilometragem]]</f>
        <v>5.2063964298995913</v>
      </c>
      <c r="J470" s="3">
        <f>TabelaFretes[[#This Row],[Valor]]/TabelaFretes[[#This Row],[Capacidade]]</f>
        <v>437.5</v>
      </c>
    </row>
    <row r="471" spans="1:10" x14ac:dyDescent="0.3">
      <c r="A471" s="2" t="s">
        <v>203</v>
      </c>
      <c r="B471" s="2" t="s">
        <v>214</v>
      </c>
      <c r="C471" s="2" t="s">
        <v>7</v>
      </c>
      <c r="D471" s="2" cm="1">
        <f t="array" ref="D47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71" s="2">
        <v>3</v>
      </c>
      <c r="F471" s="2">
        <v>2841</v>
      </c>
      <c r="G471" s="2" t="str" cm="1">
        <f t="array" ref="G47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71" s="2">
        <v>7700</v>
      </c>
      <c r="I471" s="3">
        <f>TabelaFretes[[#This Row],[Valor]]/TabelaFretes[[#This Row],[Quilometragem]]</f>
        <v>2.7103132699753609</v>
      </c>
      <c r="J471" s="3">
        <f>TabelaFretes[[#This Row],[Valor]]/TabelaFretes[[#This Row],[Capacidade]]</f>
        <v>550</v>
      </c>
    </row>
    <row r="472" spans="1:10" x14ac:dyDescent="0.3">
      <c r="A472" s="2" t="s">
        <v>203</v>
      </c>
      <c r="B472" s="2" t="s">
        <v>214</v>
      </c>
      <c r="C472" s="2" t="s">
        <v>6</v>
      </c>
      <c r="D472" s="2" cm="1">
        <f t="array" ref="D47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72" s="2">
        <v>5</v>
      </c>
      <c r="F472" s="2">
        <v>2841</v>
      </c>
      <c r="G472" s="2" t="str" cm="1">
        <f t="array" ref="G47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72" s="2">
        <v>14000</v>
      </c>
      <c r="I472" s="3">
        <f>TabelaFretes[[#This Row],[Valor]]/TabelaFretes[[#This Row],[Quilometragem]]</f>
        <v>4.9278423090461105</v>
      </c>
      <c r="J472" s="3">
        <f>TabelaFretes[[#This Row],[Valor]]/TabelaFretes[[#This Row],[Capacidade]]</f>
        <v>518.51851851851848</v>
      </c>
    </row>
    <row r="473" spans="1:10" x14ac:dyDescent="0.3">
      <c r="A473" s="2" t="s">
        <v>203</v>
      </c>
      <c r="B473" s="2" t="s">
        <v>214</v>
      </c>
      <c r="C473" s="2" t="s">
        <v>158</v>
      </c>
      <c r="D473" s="2" cm="1">
        <f t="array" ref="D47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73" s="2">
        <v>6</v>
      </c>
      <c r="F473" s="2">
        <v>2841</v>
      </c>
      <c r="G473" s="2" t="str" cm="1">
        <f t="array" ref="G47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73" s="2">
        <v>14000</v>
      </c>
      <c r="I473" s="3">
        <f>TabelaFretes[[#This Row],[Valor]]/TabelaFretes[[#This Row],[Quilometragem]]</f>
        <v>4.9278423090461105</v>
      </c>
      <c r="J473" s="3">
        <f>TabelaFretes[[#This Row],[Valor]]/TabelaFretes[[#This Row],[Capacidade]]</f>
        <v>437.5</v>
      </c>
    </row>
    <row r="474" spans="1:10" x14ac:dyDescent="0.3">
      <c r="A474" s="2" t="s">
        <v>203</v>
      </c>
      <c r="B474" s="2" t="s">
        <v>215</v>
      </c>
      <c r="C474" s="2" t="s">
        <v>7</v>
      </c>
      <c r="D474" s="2" cm="1">
        <f t="array" ref="D47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74" s="2">
        <v>3</v>
      </c>
      <c r="F474" s="2">
        <v>2630</v>
      </c>
      <c r="G474" s="2" t="str" cm="1">
        <f t="array" ref="G47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74" s="2">
        <v>7700</v>
      </c>
      <c r="I474" s="3">
        <f>TabelaFretes[[#This Row],[Valor]]/TabelaFretes[[#This Row],[Quilometragem]]</f>
        <v>2.9277566539923954</v>
      </c>
      <c r="J474" s="3">
        <f>TabelaFretes[[#This Row],[Valor]]/TabelaFretes[[#This Row],[Capacidade]]</f>
        <v>550</v>
      </c>
    </row>
    <row r="475" spans="1:10" x14ac:dyDescent="0.3">
      <c r="A475" s="2" t="s">
        <v>203</v>
      </c>
      <c r="B475" s="2" t="s">
        <v>215</v>
      </c>
      <c r="C475" s="2" t="s">
        <v>6</v>
      </c>
      <c r="D475" s="2" cm="1">
        <f t="array" ref="D47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75" s="2">
        <v>5</v>
      </c>
      <c r="F475" s="2">
        <v>2630</v>
      </c>
      <c r="G475" s="2" t="str" cm="1">
        <f t="array" ref="G47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75" s="2">
        <v>14000</v>
      </c>
      <c r="I475" s="3">
        <f>TabelaFretes[[#This Row],[Valor]]/TabelaFretes[[#This Row],[Quilometragem]]</f>
        <v>5.3231939163498101</v>
      </c>
      <c r="J475" s="3">
        <f>TabelaFretes[[#This Row],[Valor]]/TabelaFretes[[#This Row],[Capacidade]]</f>
        <v>518.51851851851848</v>
      </c>
    </row>
    <row r="476" spans="1:10" x14ac:dyDescent="0.3">
      <c r="A476" s="2" t="s">
        <v>203</v>
      </c>
      <c r="B476" s="2" t="s">
        <v>215</v>
      </c>
      <c r="C476" s="2" t="s">
        <v>158</v>
      </c>
      <c r="D476" s="2" cm="1">
        <f t="array" ref="D47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76" s="2">
        <v>6</v>
      </c>
      <c r="F476" s="2">
        <v>2630</v>
      </c>
      <c r="G476" s="2" t="str" cm="1">
        <f t="array" ref="G47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76" s="2">
        <v>14000</v>
      </c>
      <c r="I476" s="3">
        <f>TabelaFretes[[#This Row],[Valor]]/TabelaFretes[[#This Row],[Quilometragem]]</f>
        <v>5.3231939163498101</v>
      </c>
      <c r="J476" s="3">
        <f>TabelaFretes[[#This Row],[Valor]]/TabelaFretes[[#This Row],[Capacidade]]</f>
        <v>437.5</v>
      </c>
    </row>
    <row r="477" spans="1:10" x14ac:dyDescent="0.3">
      <c r="A477" s="2" t="s">
        <v>203</v>
      </c>
      <c r="B477" s="2" t="s">
        <v>216</v>
      </c>
      <c r="C477" s="2" t="s">
        <v>7</v>
      </c>
      <c r="D477" s="2" cm="1">
        <f t="array" ref="D47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77" s="2">
        <v>3</v>
      </c>
      <c r="F477" s="2">
        <v>2403</v>
      </c>
      <c r="G477" s="2" t="str" cm="1">
        <f t="array" ref="G47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77" s="2">
        <v>7700</v>
      </c>
      <c r="I477" s="3">
        <f>TabelaFretes[[#This Row],[Valor]]/TabelaFretes[[#This Row],[Quilometragem]]</f>
        <v>3.2043279234290472</v>
      </c>
      <c r="J477" s="3">
        <f>TabelaFretes[[#This Row],[Valor]]/TabelaFretes[[#This Row],[Capacidade]]</f>
        <v>550</v>
      </c>
    </row>
    <row r="478" spans="1:10" x14ac:dyDescent="0.3">
      <c r="A478" s="2" t="s">
        <v>203</v>
      </c>
      <c r="B478" s="2" t="s">
        <v>216</v>
      </c>
      <c r="C478" s="2" t="s">
        <v>6</v>
      </c>
      <c r="D478" s="2" cm="1">
        <f t="array" ref="D47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78" s="2">
        <v>5</v>
      </c>
      <c r="F478" s="2">
        <v>2403</v>
      </c>
      <c r="G478" s="2" t="str" cm="1">
        <f t="array" ref="G47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78" s="2">
        <v>14000</v>
      </c>
      <c r="I478" s="3">
        <f>TabelaFretes[[#This Row],[Valor]]/TabelaFretes[[#This Row],[Quilometragem]]</f>
        <v>5.8260507698709949</v>
      </c>
      <c r="J478" s="3">
        <f>TabelaFretes[[#This Row],[Valor]]/TabelaFretes[[#This Row],[Capacidade]]</f>
        <v>518.51851851851848</v>
      </c>
    </row>
    <row r="479" spans="1:10" x14ac:dyDescent="0.3">
      <c r="A479" s="2" t="s">
        <v>203</v>
      </c>
      <c r="B479" s="2" t="s">
        <v>216</v>
      </c>
      <c r="C479" s="2" t="s">
        <v>158</v>
      </c>
      <c r="D479" s="2" cm="1">
        <f t="array" ref="D47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79" s="2">
        <v>6</v>
      </c>
      <c r="F479" s="2">
        <v>2403</v>
      </c>
      <c r="G479" s="2" t="str" cm="1">
        <f t="array" ref="G47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79" s="2">
        <v>14000</v>
      </c>
      <c r="I479" s="3">
        <f>TabelaFretes[[#This Row],[Valor]]/TabelaFretes[[#This Row],[Quilometragem]]</f>
        <v>5.8260507698709949</v>
      </c>
      <c r="J479" s="3">
        <f>TabelaFretes[[#This Row],[Valor]]/TabelaFretes[[#This Row],[Capacidade]]</f>
        <v>437.5</v>
      </c>
    </row>
    <row r="480" spans="1:10" x14ac:dyDescent="0.3">
      <c r="A480" s="2" t="s">
        <v>203</v>
      </c>
      <c r="B480" s="2" t="s">
        <v>217</v>
      </c>
      <c r="C480" s="2" t="s">
        <v>7</v>
      </c>
      <c r="D480" s="2" cm="1">
        <f t="array" ref="D48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80" s="2">
        <v>3</v>
      </c>
      <c r="F480" s="2">
        <v>2631</v>
      </c>
      <c r="G480" s="2" t="str" cm="1">
        <f t="array" ref="G48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80" s="2">
        <v>7700</v>
      </c>
      <c r="I480" s="3">
        <f>TabelaFretes[[#This Row],[Valor]]/TabelaFretes[[#This Row],[Quilometragem]]</f>
        <v>2.9266438616495627</v>
      </c>
      <c r="J480" s="3">
        <f>TabelaFretes[[#This Row],[Valor]]/TabelaFretes[[#This Row],[Capacidade]]</f>
        <v>550</v>
      </c>
    </row>
    <row r="481" spans="1:10" x14ac:dyDescent="0.3">
      <c r="A481" s="2" t="s">
        <v>203</v>
      </c>
      <c r="B481" s="2" t="s">
        <v>217</v>
      </c>
      <c r="C481" s="2" t="s">
        <v>6</v>
      </c>
      <c r="D481" s="2" cm="1">
        <f t="array" ref="D48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81" s="2">
        <v>5</v>
      </c>
      <c r="F481" s="2">
        <v>2631</v>
      </c>
      <c r="G481" s="2" t="str" cm="1">
        <f t="array" ref="G48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81" s="2">
        <v>14000</v>
      </c>
      <c r="I481" s="3">
        <f>TabelaFretes[[#This Row],[Valor]]/TabelaFretes[[#This Row],[Quilometragem]]</f>
        <v>5.32117065754466</v>
      </c>
      <c r="J481" s="3">
        <f>TabelaFretes[[#This Row],[Valor]]/TabelaFretes[[#This Row],[Capacidade]]</f>
        <v>518.51851851851848</v>
      </c>
    </row>
    <row r="482" spans="1:10" x14ac:dyDescent="0.3">
      <c r="A482" s="2" t="s">
        <v>203</v>
      </c>
      <c r="B482" s="2" t="s">
        <v>217</v>
      </c>
      <c r="C482" s="2" t="s">
        <v>158</v>
      </c>
      <c r="D482" s="2" cm="1">
        <f t="array" ref="D48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82" s="2">
        <v>6</v>
      </c>
      <c r="F482" s="2">
        <v>2631</v>
      </c>
      <c r="G482" s="2" t="str" cm="1">
        <f t="array" ref="G48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82" s="2">
        <v>14000</v>
      </c>
      <c r="I482" s="3">
        <f>TabelaFretes[[#This Row],[Valor]]/TabelaFretes[[#This Row],[Quilometragem]]</f>
        <v>5.32117065754466</v>
      </c>
      <c r="J482" s="3">
        <f>TabelaFretes[[#This Row],[Valor]]/TabelaFretes[[#This Row],[Capacidade]]</f>
        <v>437.5</v>
      </c>
    </row>
    <row r="483" spans="1:10" x14ac:dyDescent="0.3">
      <c r="A483" s="2" t="s">
        <v>203</v>
      </c>
      <c r="B483" s="2" t="s">
        <v>218</v>
      </c>
      <c r="C483" s="2" t="s">
        <v>7</v>
      </c>
      <c r="D483" s="2" cm="1">
        <f t="array" ref="D48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83" s="2">
        <v>3</v>
      </c>
      <c r="F483" s="2">
        <v>2552</v>
      </c>
      <c r="G483" s="2" t="str" cm="1">
        <f t="array" ref="G48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83" s="2">
        <v>7700</v>
      </c>
      <c r="I483" s="3">
        <f>TabelaFretes[[#This Row],[Valor]]/TabelaFretes[[#This Row],[Quilometragem]]</f>
        <v>3.0172413793103448</v>
      </c>
      <c r="J483" s="3">
        <f>TabelaFretes[[#This Row],[Valor]]/TabelaFretes[[#This Row],[Capacidade]]</f>
        <v>550</v>
      </c>
    </row>
    <row r="484" spans="1:10" x14ac:dyDescent="0.3">
      <c r="A484" s="2" t="s">
        <v>203</v>
      </c>
      <c r="B484" s="2" t="s">
        <v>218</v>
      </c>
      <c r="C484" s="2" t="s">
        <v>6</v>
      </c>
      <c r="D484" s="2" cm="1">
        <f t="array" ref="D48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84" s="2">
        <v>5</v>
      </c>
      <c r="F484" s="2">
        <v>2552</v>
      </c>
      <c r="G484" s="2" t="str" cm="1">
        <f t="array" ref="G48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84" s="2">
        <v>14000</v>
      </c>
      <c r="I484" s="3">
        <f>TabelaFretes[[#This Row],[Valor]]/TabelaFretes[[#This Row],[Quilometragem]]</f>
        <v>5.4858934169279001</v>
      </c>
      <c r="J484" s="3">
        <f>TabelaFretes[[#This Row],[Valor]]/TabelaFretes[[#This Row],[Capacidade]]</f>
        <v>518.51851851851848</v>
      </c>
    </row>
    <row r="485" spans="1:10" x14ac:dyDescent="0.3">
      <c r="A485" s="2" t="s">
        <v>203</v>
      </c>
      <c r="B485" s="2" t="s">
        <v>218</v>
      </c>
      <c r="C485" s="2" t="s">
        <v>158</v>
      </c>
      <c r="D485" s="2" cm="1">
        <f t="array" ref="D48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85" s="2">
        <v>6</v>
      </c>
      <c r="F485" s="2">
        <v>2552</v>
      </c>
      <c r="G485" s="2" t="str" cm="1">
        <f t="array" ref="G48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85" s="2">
        <v>14000</v>
      </c>
      <c r="I485" s="3">
        <f>TabelaFretes[[#This Row],[Valor]]/TabelaFretes[[#This Row],[Quilometragem]]</f>
        <v>5.4858934169279001</v>
      </c>
      <c r="J485" s="3">
        <f>TabelaFretes[[#This Row],[Valor]]/TabelaFretes[[#This Row],[Capacidade]]</f>
        <v>437.5</v>
      </c>
    </row>
    <row r="486" spans="1:10" x14ac:dyDescent="0.3">
      <c r="A486" s="2" t="s">
        <v>203</v>
      </c>
      <c r="B486" s="2" t="s">
        <v>219</v>
      </c>
      <c r="C486" s="2" t="s">
        <v>7</v>
      </c>
      <c r="D486" s="2" cm="1">
        <f t="array" ref="D48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86" s="2">
        <v>3</v>
      </c>
      <c r="F486" s="2">
        <v>2743</v>
      </c>
      <c r="G486" s="2" t="str" cm="1">
        <f t="array" ref="G48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86" s="2">
        <v>7700</v>
      </c>
      <c r="I486" s="3">
        <f>TabelaFretes[[#This Row],[Valor]]/TabelaFretes[[#This Row],[Quilometragem]]</f>
        <v>2.8071454611738971</v>
      </c>
      <c r="J486" s="3">
        <f>TabelaFretes[[#This Row],[Valor]]/TabelaFretes[[#This Row],[Capacidade]]</f>
        <v>550</v>
      </c>
    </row>
    <row r="487" spans="1:10" x14ac:dyDescent="0.3">
      <c r="A487" s="2" t="s">
        <v>203</v>
      </c>
      <c r="B487" s="2" t="s">
        <v>219</v>
      </c>
      <c r="C487" s="2" t="s">
        <v>6</v>
      </c>
      <c r="D487" s="2" cm="1">
        <f t="array" ref="D48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87" s="2">
        <v>5</v>
      </c>
      <c r="F487" s="2">
        <v>2743</v>
      </c>
      <c r="G487" s="2" t="str" cm="1">
        <f t="array" ref="G48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87" s="2">
        <v>14000</v>
      </c>
      <c r="I487" s="3">
        <f>TabelaFretes[[#This Row],[Valor]]/TabelaFretes[[#This Row],[Quilometragem]]</f>
        <v>5.1039008384979949</v>
      </c>
      <c r="J487" s="3">
        <f>TabelaFretes[[#This Row],[Valor]]/TabelaFretes[[#This Row],[Capacidade]]</f>
        <v>518.51851851851848</v>
      </c>
    </row>
    <row r="488" spans="1:10" x14ac:dyDescent="0.3">
      <c r="A488" s="2" t="s">
        <v>203</v>
      </c>
      <c r="B488" s="2" t="s">
        <v>219</v>
      </c>
      <c r="C488" s="2" t="s">
        <v>158</v>
      </c>
      <c r="D488" s="2" cm="1">
        <f t="array" ref="D48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88" s="2">
        <v>6</v>
      </c>
      <c r="F488" s="2">
        <v>2743</v>
      </c>
      <c r="G488" s="2" t="str" cm="1">
        <f t="array" ref="G48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88" s="2">
        <v>14000</v>
      </c>
      <c r="I488" s="3">
        <f>TabelaFretes[[#This Row],[Valor]]/TabelaFretes[[#This Row],[Quilometragem]]</f>
        <v>5.1039008384979949</v>
      </c>
      <c r="J488" s="3">
        <f>TabelaFretes[[#This Row],[Valor]]/TabelaFretes[[#This Row],[Capacidade]]</f>
        <v>437.5</v>
      </c>
    </row>
    <row r="489" spans="1:10" x14ac:dyDescent="0.3">
      <c r="A489" s="2" t="s">
        <v>203</v>
      </c>
      <c r="B489" s="2" t="s">
        <v>220</v>
      </c>
      <c r="C489" s="2" t="s">
        <v>7</v>
      </c>
      <c r="D489" s="2" cm="1">
        <f t="array" ref="D48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89" s="2">
        <v>3</v>
      </c>
      <c r="F489" s="2">
        <v>2638</v>
      </c>
      <c r="G489" s="2" t="str" cm="1">
        <f t="array" ref="G48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89" s="2">
        <v>7700</v>
      </c>
      <c r="I489" s="3">
        <f>TabelaFretes[[#This Row],[Valor]]/TabelaFretes[[#This Row],[Quilometragem]]</f>
        <v>2.9188779378316907</v>
      </c>
      <c r="J489" s="3">
        <f>TabelaFretes[[#This Row],[Valor]]/TabelaFretes[[#This Row],[Capacidade]]</f>
        <v>550</v>
      </c>
    </row>
    <row r="490" spans="1:10" x14ac:dyDescent="0.3">
      <c r="A490" s="2" t="s">
        <v>203</v>
      </c>
      <c r="B490" s="2" t="s">
        <v>220</v>
      </c>
      <c r="C490" s="2" t="s">
        <v>6</v>
      </c>
      <c r="D490" s="2" cm="1">
        <f t="array" ref="D49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90" s="2">
        <v>5</v>
      </c>
      <c r="F490" s="2">
        <v>2638</v>
      </c>
      <c r="G490" s="2" t="str" cm="1">
        <f t="array" ref="G49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90" s="2">
        <v>14000</v>
      </c>
      <c r="I490" s="3">
        <f>TabelaFretes[[#This Row],[Valor]]/TabelaFretes[[#This Row],[Quilometragem]]</f>
        <v>5.3070507960576192</v>
      </c>
      <c r="J490" s="3">
        <f>TabelaFretes[[#This Row],[Valor]]/TabelaFretes[[#This Row],[Capacidade]]</f>
        <v>518.51851851851848</v>
      </c>
    </row>
    <row r="491" spans="1:10" x14ac:dyDescent="0.3">
      <c r="A491" s="2" t="s">
        <v>203</v>
      </c>
      <c r="B491" s="2" t="s">
        <v>220</v>
      </c>
      <c r="C491" s="2" t="s">
        <v>158</v>
      </c>
      <c r="D491" s="2" cm="1">
        <f t="array" ref="D49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91" s="2">
        <v>6</v>
      </c>
      <c r="F491" s="2">
        <v>2638</v>
      </c>
      <c r="G491" s="2" t="str" cm="1">
        <f t="array" ref="G49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91" s="2">
        <v>14000</v>
      </c>
      <c r="I491" s="3">
        <f>TabelaFretes[[#This Row],[Valor]]/TabelaFretes[[#This Row],[Quilometragem]]</f>
        <v>5.3070507960576192</v>
      </c>
      <c r="J491" s="3">
        <f>TabelaFretes[[#This Row],[Valor]]/TabelaFretes[[#This Row],[Capacidade]]</f>
        <v>437.5</v>
      </c>
    </row>
    <row r="492" spans="1:10" x14ac:dyDescent="0.3">
      <c r="A492" s="2" t="s">
        <v>203</v>
      </c>
      <c r="B492" s="2" t="s">
        <v>221</v>
      </c>
      <c r="C492" s="2" t="s">
        <v>7</v>
      </c>
      <c r="D492" s="2" cm="1">
        <f t="array" ref="D49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92" s="2">
        <v>3</v>
      </c>
      <c r="F492" s="2">
        <v>2787</v>
      </c>
      <c r="G492" s="2" t="str" cm="1">
        <f t="array" ref="G49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92" s="2">
        <v>7700</v>
      </c>
      <c r="I492" s="3">
        <f>TabelaFretes[[#This Row],[Valor]]/TabelaFretes[[#This Row],[Quilometragem]]</f>
        <v>2.762827412988877</v>
      </c>
      <c r="J492" s="3">
        <f>TabelaFretes[[#This Row],[Valor]]/TabelaFretes[[#This Row],[Capacidade]]</f>
        <v>550</v>
      </c>
    </row>
    <row r="493" spans="1:10" x14ac:dyDescent="0.3">
      <c r="A493" s="2" t="s">
        <v>203</v>
      </c>
      <c r="B493" s="2" t="s">
        <v>221</v>
      </c>
      <c r="C493" s="2" t="s">
        <v>6</v>
      </c>
      <c r="D493" s="2" cm="1">
        <f t="array" ref="D49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93" s="2">
        <v>5</v>
      </c>
      <c r="F493" s="2">
        <v>2787</v>
      </c>
      <c r="G493" s="2" t="str" cm="1">
        <f t="array" ref="G49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93" s="2">
        <v>14000</v>
      </c>
      <c r="I493" s="3">
        <f>TabelaFretes[[#This Row],[Valor]]/TabelaFretes[[#This Row],[Quilometragem]]</f>
        <v>5.0233225690706851</v>
      </c>
      <c r="J493" s="3">
        <f>TabelaFretes[[#This Row],[Valor]]/TabelaFretes[[#This Row],[Capacidade]]</f>
        <v>518.51851851851848</v>
      </c>
    </row>
    <row r="494" spans="1:10" x14ac:dyDescent="0.3">
      <c r="A494" s="2" t="s">
        <v>203</v>
      </c>
      <c r="B494" s="2" t="s">
        <v>221</v>
      </c>
      <c r="C494" s="2" t="s">
        <v>158</v>
      </c>
      <c r="D494" s="2" cm="1">
        <f t="array" ref="D49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94" s="2">
        <v>6</v>
      </c>
      <c r="F494" s="2">
        <v>2787</v>
      </c>
      <c r="G494" s="2" t="str" cm="1">
        <f t="array" ref="G49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494" s="2">
        <v>14000</v>
      </c>
      <c r="I494" s="3">
        <f>TabelaFretes[[#This Row],[Valor]]/TabelaFretes[[#This Row],[Quilometragem]]</f>
        <v>5.0233225690706851</v>
      </c>
      <c r="J494" s="3">
        <f>TabelaFretes[[#This Row],[Valor]]/TabelaFretes[[#This Row],[Capacidade]]</f>
        <v>437.5</v>
      </c>
    </row>
    <row r="495" spans="1:10" x14ac:dyDescent="0.3">
      <c r="A495" s="2" t="s">
        <v>203</v>
      </c>
      <c r="B495" s="2" t="s">
        <v>222</v>
      </c>
      <c r="C495" s="2" t="s">
        <v>7</v>
      </c>
      <c r="D495" s="2" cm="1">
        <f t="array" ref="D49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95" s="2">
        <v>3</v>
      </c>
      <c r="F495" s="2">
        <v>2571</v>
      </c>
      <c r="G495" s="2" t="str" cm="1">
        <f t="array" ref="G49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95" s="2">
        <v>7700</v>
      </c>
      <c r="I495" s="3">
        <f>TabelaFretes[[#This Row],[Valor]]/TabelaFretes[[#This Row],[Quilometragem]]</f>
        <v>2.9949436017113964</v>
      </c>
      <c r="J495" s="3">
        <f>TabelaFretes[[#This Row],[Valor]]/TabelaFretes[[#This Row],[Capacidade]]</f>
        <v>550</v>
      </c>
    </row>
    <row r="496" spans="1:10" x14ac:dyDescent="0.3">
      <c r="A496" s="2" t="s">
        <v>203</v>
      </c>
      <c r="B496" s="2" t="s">
        <v>222</v>
      </c>
      <c r="C496" s="2" t="s">
        <v>6</v>
      </c>
      <c r="D496" s="2" cm="1">
        <f t="array" ref="D49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96" s="2">
        <v>5</v>
      </c>
      <c r="F496" s="2">
        <v>2571</v>
      </c>
      <c r="G496" s="2" t="str" cm="1">
        <f t="array" ref="G49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96" s="2">
        <v>14000</v>
      </c>
      <c r="I496" s="3">
        <f>TabelaFretes[[#This Row],[Valor]]/TabelaFretes[[#This Row],[Quilometragem]]</f>
        <v>5.4453520031116298</v>
      </c>
      <c r="J496" s="3">
        <f>TabelaFretes[[#This Row],[Valor]]/TabelaFretes[[#This Row],[Capacidade]]</f>
        <v>518.51851851851848</v>
      </c>
    </row>
    <row r="497" spans="1:10" x14ac:dyDescent="0.3">
      <c r="A497" s="2" t="s">
        <v>203</v>
      </c>
      <c r="B497" s="2" t="s">
        <v>222</v>
      </c>
      <c r="C497" s="2" t="s">
        <v>158</v>
      </c>
      <c r="D497" s="2" cm="1">
        <f t="array" ref="D49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497" s="2">
        <v>6</v>
      </c>
      <c r="F497" s="2">
        <v>2571</v>
      </c>
      <c r="G497" s="2" t="str" cm="1">
        <f t="array" ref="G49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97" s="2">
        <v>14000</v>
      </c>
      <c r="I497" s="3">
        <f>TabelaFretes[[#This Row],[Valor]]/TabelaFretes[[#This Row],[Quilometragem]]</f>
        <v>5.4453520031116298</v>
      </c>
      <c r="J497" s="3">
        <f>TabelaFretes[[#This Row],[Valor]]/TabelaFretes[[#This Row],[Capacidade]]</f>
        <v>437.5</v>
      </c>
    </row>
    <row r="498" spans="1:10" x14ac:dyDescent="0.3">
      <c r="A498" s="2" t="s">
        <v>203</v>
      </c>
      <c r="B498" s="2" t="s">
        <v>223</v>
      </c>
      <c r="C498" s="2" t="s">
        <v>7</v>
      </c>
      <c r="D498" s="2" cm="1">
        <f t="array" ref="D49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498" s="2">
        <v>3</v>
      </c>
      <c r="F498" s="2">
        <v>2670</v>
      </c>
      <c r="G498" s="2" t="str" cm="1">
        <f t="array" ref="G49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98" s="2">
        <v>7700</v>
      </c>
      <c r="I498" s="3">
        <f>TabelaFretes[[#This Row],[Valor]]/TabelaFretes[[#This Row],[Quilometragem]]</f>
        <v>2.8838951310861423</v>
      </c>
      <c r="J498" s="3">
        <f>TabelaFretes[[#This Row],[Valor]]/TabelaFretes[[#This Row],[Capacidade]]</f>
        <v>550</v>
      </c>
    </row>
    <row r="499" spans="1:10" x14ac:dyDescent="0.3">
      <c r="A499" s="2" t="s">
        <v>203</v>
      </c>
      <c r="B499" s="2" t="s">
        <v>223</v>
      </c>
      <c r="C499" s="2" t="s">
        <v>6</v>
      </c>
      <c r="D499" s="2" cm="1">
        <f t="array" ref="D49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499" s="2">
        <v>5</v>
      </c>
      <c r="F499" s="2">
        <v>2670</v>
      </c>
      <c r="G499" s="2" t="str" cm="1">
        <f t="array" ref="G49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499" s="2">
        <v>14000</v>
      </c>
      <c r="I499" s="3">
        <f>TabelaFretes[[#This Row],[Valor]]/TabelaFretes[[#This Row],[Quilometragem]]</f>
        <v>5.2434456928838955</v>
      </c>
      <c r="J499" s="3">
        <f>TabelaFretes[[#This Row],[Valor]]/TabelaFretes[[#This Row],[Capacidade]]</f>
        <v>518.51851851851848</v>
      </c>
    </row>
    <row r="500" spans="1:10" x14ac:dyDescent="0.3">
      <c r="A500" s="2" t="s">
        <v>203</v>
      </c>
      <c r="B500" s="2" t="s">
        <v>223</v>
      </c>
      <c r="C500" s="2" t="s">
        <v>158</v>
      </c>
      <c r="D500" s="2" cm="1">
        <f t="array" ref="D50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00" s="2">
        <v>6</v>
      </c>
      <c r="F500" s="2">
        <v>2670</v>
      </c>
      <c r="G500" s="2" t="str" cm="1">
        <f t="array" ref="G50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00" s="2">
        <v>14000</v>
      </c>
      <c r="I500" s="3">
        <f>TabelaFretes[[#This Row],[Valor]]/TabelaFretes[[#This Row],[Quilometragem]]</f>
        <v>5.2434456928838955</v>
      </c>
      <c r="J500" s="3">
        <f>TabelaFretes[[#This Row],[Valor]]/TabelaFretes[[#This Row],[Capacidade]]</f>
        <v>437.5</v>
      </c>
    </row>
    <row r="501" spans="1:10" x14ac:dyDescent="0.3">
      <c r="A501" s="2" t="s">
        <v>203</v>
      </c>
      <c r="B501" s="2" t="s">
        <v>224</v>
      </c>
      <c r="C501" s="2" t="s">
        <v>7</v>
      </c>
      <c r="D501" s="2" cm="1">
        <f t="array" ref="D50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01" s="2">
        <v>3</v>
      </c>
      <c r="F501" s="2">
        <v>2892</v>
      </c>
      <c r="G501" s="2" t="str" cm="1">
        <f t="array" ref="G50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01" s="2">
        <v>8200</v>
      </c>
      <c r="I501" s="3">
        <f>TabelaFretes[[#This Row],[Valor]]/TabelaFretes[[#This Row],[Quilometragem]]</f>
        <v>2.835408022130014</v>
      </c>
      <c r="J501" s="3">
        <f>TabelaFretes[[#This Row],[Valor]]/TabelaFretes[[#This Row],[Capacidade]]</f>
        <v>585.71428571428567</v>
      </c>
    </row>
    <row r="502" spans="1:10" x14ac:dyDescent="0.3">
      <c r="A502" s="2" t="s">
        <v>203</v>
      </c>
      <c r="B502" s="2" t="s">
        <v>224</v>
      </c>
      <c r="C502" s="2" t="s">
        <v>6</v>
      </c>
      <c r="D502" s="2" cm="1">
        <f t="array" ref="D50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02" s="2">
        <v>5</v>
      </c>
      <c r="F502" s="2">
        <v>2892</v>
      </c>
      <c r="G502" s="2" t="str" cm="1">
        <f t="array" ref="G50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02" s="2">
        <v>16000</v>
      </c>
      <c r="I502" s="3">
        <f>TabelaFretes[[#This Row],[Valor]]/TabelaFretes[[#This Row],[Quilometragem]]</f>
        <v>5.532503457814661</v>
      </c>
      <c r="J502" s="3">
        <f>TabelaFretes[[#This Row],[Valor]]/TabelaFretes[[#This Row],[Capacidade]]</f>
        <v>592.59259259259261</v>
      </c>
    </row>
    <row r="503" spans="1:10" x14ac:dyDescent="0.3">
      <c r="A503" s="2" t="s">
        <v>203</v>
      </c>
      <c r="B503" s="2" t="s">
        <v>224</v>
      </c>
      <c r="C503" s="2" t="s">
        <v>158</v>
      </c>
      <c r="D503" s="2" cm="1">
        <f t="array" ref="D50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03" s="2">
        <v>6</v>
      </c>
      <c r="F503" s="2">
        <v>2892</v>
      </c>
      <c r="G503" s="2" t="str" cm="1">
        <f t="array" ref="G50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03" s="2">
        <v>14000</v>
      </c>
      <c r="I503" s="3">
        <f>TabelaFretes[[#This Row],[Valor]]/TabelaFretes[[#This Row],[Quilometragem]]</f>
        <v>4.8409405255878282</v>
      </c>
      <c r="J503" s="3">
        <f>TabelaFretes[[#This Row],[Valor]]/TabelaFretes[[#This Row],[Capacidade]]</f>
        <v>437.5</v>
      </c>
    </row>
    <row r="504" spans="1:10" x14ac:dyDescent="0.3">
      <c r="A504" s="2" t="s">
        <v>203</v>
      </c>
      <c r="B504" s="2" t="s">
        <v>225</v>
      </c>
      <c r="C504" s="2" t="s">
        <v>7</v>
      </c>
      <c r="D504" s="2" cm="1">
        <f t="array" ref="D50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04" s="2">
        <v>3</v>
      </c>
      <c r="F504" s="2">
        <v>2632</v>
      </c>
      <c r="G504" s="2" t="str" cm="1">
        <f t="array" ref="G50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04" s="2">
        <v>7700</v>
      </c>
      <c r="I504" s="3">
        <f>TabelaFretes[[#This Row],[Valor]]/TabelaFretes[[#This Row],[Quilometragem]]</f>
        <v>2.9255319148936172</v>
      </c>
      <c r="J504" s="3">
        <f>TabelaFretes[[#This Row],[Valor]]/TabelaFretes[[#This Row],[Capacidade]]</f>
        <v>550</v>
      </c>
    </row>
    <row r="505" spans="1:10" x14ac:dyDescent="0.3">
      <c r="A505" s="2" t="s">
        <v>203</v>
      </c>
      <c r="B505" s="2" t="s">
        <v>225</v>
      </c>
      <c r="C505" s="2" t="s">
        <v>6</v>
      </c>
      <c r="D505" s="2" cm="1">
        <f t="array" ref="D50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05" s="2">
        <v>5</v>
      </c>
      <c r="F505" s="2">
        <v>2632</v>
      </c>
      <c r="G505" s="2" t="str" cm="1">
        <f t="array" ref="G50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05" s="2">
        <v>14000</v>
      </c>
      <c r="I505" s="3">
        <f>TabelaFretes[[#This Row],[Valor]]/TabelaFretes[[#This Row],[Quilometragem]]</f>
        <v>5.3191489361702127</v>
      </c>
      <c r="J505" s="3">
        <f>TabelaFretes[[#This Row],[Valor]]/TabelaFretes[[#This Row],[Capacidade]]</f>
        <v>518.51851851851848</v>
      </c>
    </row>
    <row r="506" spans="1:10" x14ac:dyDescent="0.3">
      <c r="A506" s="2" t="s">
        <v>203</v>
      </c>
      <c r="B506" s="2" t="s">
        <v>225</v>
      </c>
      <c r="C506" s="2" t="s">
        <v>158</v>
      </c>
      <c r="D506" s="2" cm="1">
        <f t="array" ref="D50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06" s="2">
        <v>6</v>
      </c>
      <c r="F506" s="2">
        <v>2632</v>
      </c>
      <c r="G506" s="2" t="str" cm="1">
        <f t="array" ref="G50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06" s="2">
        <v>14000</v>
      </c>
      <c r="I506" s="3">
        <f>TabelaFretes[[#This Row],[Valor]]/TabelaFretes[[#This Row],[Quilometragem]]</f>
        <v>5.3191489361702127</v>
      </c>
      <c r="J506" s="3">
        <f>TabelaFretes[[#This Row],[Valor]]/TabelaFretes[[#This Row],[Capacidade]]</f>
        <v>437.5</v>
      </c>
    </row>
    <row r="507" spans="1:10" x14ac:dyDescent="0.3">
      <c r="A507" s="2" t="s">
        <v>203</v>
      </c>
      <c r="B507" s="2" t="s">
        <v>226</v>
      </c>
      <c r="C507" s="2" t="s">
        <v>7</v>
      </c>
      <c r="D507" s="2" cm="1">
        <f t="array" ref="D50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07" s="2">
        <v>3</v>
      </c>
      <c r="F507" s="2">
        <v>2615</v>
      </c>
      <c r="G507" s="2" t="str" cm="1">
        <f t="array" ref="G50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07" s="2">
        <v>7700</v>
      </c>
      <c r="I507" s="3">
        <f>TabelaFretes[[#This Row],[Valor]]/TabelaFretes[[#This Row],[Quilometragem]]</f>
        <v>2.9445506692160612</v>
      </c>
      <c r="J507" s="3">
        <f>TabelaFretes[[#This Row],[Valor]]/TabelaFretes[[#This Row],[Capacidade]]</f>
        <v>550</v>
      </c>
    </row>
    <row r="508" spans="1:10" x14ac:dyDescent="0.3">
      <c r="A508" s="2" t="s">
        <v>203</v>
      </c>
      <c r="B508" s="2" t="s">
        <v>226</v>
      </c>
      <c r="C508" s="2" t="s">
        <v>6</v>
      </c>
      <c r="D508" s="2" cm="1">
        <f t="array" ref="D50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08" s="2">
        <v>5</v>
      </c>
      <c r="F508" s="2">
        <v>2615</v>
      </c>
      <c r="G508" s="2" t="str" cm="1">
        <f t="array" ref="G50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08" s="2">
        <v>14000</v>
      </c>
      <c r="I508" s="3">
        <f>TabelaFretes[[#This Row],[Valor]]/TabelaFretes[[#This Row],[Quilometragem]]</f>
        <v>5.353728489483748</v>
      </c>
      <c r="J508" s="3">
        <f>TabelaFretes[[#This Row],[Valor]]/TabelaFretes[[#This Row],[Capacidade]]</f>
        <v>518.51851851851848</v>
      </c>
    </row>
    <row r="509" spans="1:10" x14ac:dyDescent="0.3">
      <c r="A509" s="2" t="s">
        <v>203</v>
      </c>
      <c r="B509" s="2" t="s">
        <v>226</v>
      </c>
      <c r="C509" s="2" t="s">
        <v>158</v>
      </c>
      <c r="D509" s="2" cm="1">
        <f t="array" ref="D50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09" s="2">
        <v>6</v>
      </c>
      <c r="F509" s="2">
        <v>2615</v>
      </c>
      <c r="G509" s="2" t="str" cm="1">
        <f t="array" ref="G50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09" s="2">
        <v>14000</v>
      </c>
      <c r="I509" s="3">
        <f>TabelaFretes[[#This Row],[Valor]]/TabelaFretes[[#This Row],[Quilometragem]]</f>
        <v>5.353728489483748</v>
      </c>
      <c r="J509" s="3">
        <f>TabelaFretes[[#This Row],[Valor]]/TabelaFretes[[#This Row],[Capacidade]]</f>
        <v>437.5</v>
      </c>
    </row>
    <row r="510" spans="1:10" x14ac:dyDescent="0.3">
      <c r="A510" s="2" t="s">
        <v>203</v>
      </c>
      <c r="B510" s="2" t="s">
        <v>227</v>
      </c>
      <c r="C510" s="2" t="s">
        <v>7</v>
      </c>
      <c r="D510" s="2" cm="1">
        <f t="array" ref="D51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10" s="2">
        <v>3</v>
      </c>
      <c r="F510" s="2">
        <v>2647</v>
      </c>
      <c r="G510" s="2" t="str" cm="1">
        <f t="array" ref="G51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0" s="2">
        <v>7700</v>
      </c>
      <c r="I510" s="3">
        <f>TabelaFretes[[#This Row],[Valor]]/TabelaFretes[[#This Row],[Quilometragem]]</f>
        <v>2.9089535323007176</v>
      </c>
      <c r="J510" s="3">
        <f>TabelaFretes[[#This Row],[Valor]]/TabelaFretes[[#This Row],[Capacidade]]</f>
        <v>550</v>
      </c>
    </row>
    <row r="511" spans="1:10" x14ac:dyDescent="0.3">
      <c r="A511" s="2" t="s">
        <v>203</v>
      </c>
      <c r="B511" s="2" t="s">
        <v>227</v>
      </c>
      <c r="C511" s="2" t="s">
        <v>6</v>
      </c>
      <c r="D511" s="2" cm="1">
        <f t="array" ref="D51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11" s="2">
        <v>5</v>
      </c>
      <c r="F511" s="2">
        <v>2647</v>
      </c>
      <c r="G511" s="2" t="str" cm="1">
        <f t="array" ref="G51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1" s="2">
        <v>14000</v>
      </c>
      <c r="I511" s="3">
        <f>TabelaFretes[[#This Row],[Valor]]/TabelaFretes[[#This Row],[Quilometragem]]</f>
        <v>5.2890064223649418</v>
      </c>
      <c r="J511" s="3">
        <f>TabelaFretes[[#This Row],[Valor]]/TabelaFretes[[#This Row],[Capacidade]]</f>
        <v>518.51851851851848</v>
      </c>
    </row>
    <row r="512" spans="1:10" x14ac:dyDescent="0.3">
      <c r="A512" s="2" t="s">
        <v>203</v>
      </c>
      <c r="B512" s="2" t="s">
        <v>227</v>
      </c>
      <c r="C512" s="2" t="s">
        <v>158</v>
      </c>
      <c r="D512" s="2" cm="1">
        <f t="array" ref="D51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12" s="2">
        <v>6</v>
      </c>
      <c r="F512" s="2">
        <v>2647</v>
      </c>
      <c r="G512" s="2" t="str" cm="1">
        <f t="array" ref="G51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2" s="2">
        <v>14000</v>
      </c>
      <c r="I512" s="3">
        <f>TabelaFretes[[#This Row],[Valor]]/TabelaFretes[[#This Row],[Quilometragem]]</f>
        <v>5.2890064223649418</v>
      </c>
      <c r="J512" s="3">
        <f>TabelaFretes[[#This Row],[Valor]]/TabelaFretes[[#This Row],[Capacidade]]</f>
        <v>437.5</v>
      </c>
    </row>
    <row r="513" spans="1:10" x14ac:dyDescent="0.3">
      <c r="A513" s="2" t="s">
        <v>203</v>
      </c>
      <c r="B513" s="2" t="s">
        <v>228</v>
      </c>
      <c r="C513" s="2" t="s">
        <v>7</v>
      </c>
      <c r="D513" s="2" cm="1">
        <f t="array" ref="D51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13" s="2">
        <v>3</v>
      </c>
      <c r="F513" s="2">
        <v>2680</v>
      </c>
      <c r="G513" s="2" t="str" cm="1">
        <f t="array" ref="G51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3" s="2">
        <v>7700</v>
      </c>
      <c r="I513" s="3">
        <f>TabelaFretes[[#This Row],[Valor]]/TabelaFretes[[#This Row],[Quilometragem]]</f>
        <v>2.8731343283582089</v>
      </c>
      <c r="J513" s="3">
        <f>TabelaFretes[[#This Row],[Valor]]/TabelaFretes[[#This Row],[Capacidade]]</f>
        <v>550</v>
      </c>
    </row>
    <row r="514" spans="1:10" x14ac:dyDescent="0.3">
      <c r="A514" s="2" t="s">
        <v>203</v>
      </c>
      <c r="B514" s="2" t="s">
        <v>228</v>
      </c>
      <c r="C514" s="2" t="s">
        <v>9</v>
      </c>
      <c r="D514" s="2" cm="1">
        <f t="array" ref="D51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514" s="2">
        <v>4</v>
      </c>
      <c r="F514" s="2">
        <v>2680</v>
      </c>
      <c r="G514" s="2" t="str" cm="1">
        <f t="array" ref="G51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4" s="2">
        <v>10450</v>
      </c>
      <c r="I514" s="3">
        <f>TabelaFretes[[#This Row],[Valor]]/TabelaFretes[[#This Row],[Quilometragem]]</f>
        <v>3.8992537313432836</v>
      </c>
      <c r="J514" s="3">
        <f>TabelaFretes[[#This Row],[Valor]]/TabelaFretes[[#This Row],[Capacidade]]</f>
        <v>550</v>
      </c>
    </row>
    <row r="515" spans="1:10" x14ac:dyDescent="0.3">
      <c r="A515" s="2" t="s">
        <v>203</v>
      </c>
      <c r="B515" s="2" t="s">
        <v>228</v>
      </c>
      <c r="C515" s="2" t="s">
        <v>6</v>
      </c>
      <c r="D515" s="2" cm="1">
        <f t="array" ref="D51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15" s="2">
        <v>5</v>
      </c>
      <c r="F515" s="2">
        <v>2680</v>
      </c>
      <c r="G515" s="2" t="str" cm="1">
        <f t="array" ref="G51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5" s="2">
        <v>14000</v>
      </c>
      <c r="I515" s="3">
        <f>TabelaFretes[[#This Row],[Valor]]/TabelaFretes[[#This Row],[Quilometragem]]</f>
        <v>5.2238805970149258</v>
      </c>
      <c r="J515" s="3">
        <f>TabelaFretes[[#This Row],[Valor]]/TabelaFretes[[#This Row],[Capacidade]]</f>
        <v>518.51851851851848</v>
      </c>
    </row>
    <row r="516" spans="1:10" x14ac:dyDescent="0.3">
      <c r="A516" s="2" t="s">
        <v>203</v>
      </c>
      <c r="B516" s="2" t="s">
        <v>228</v>
      </c>
      <c r="C516" s="2" t="s">
        <v>158</v>
      </c>
      <c r="D516" s="2" cm="1">
        <f t="array" ref="D51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16" s="2">
        <v>6</v>
      </c>
      <c r="F516" s="2">
        <v>2680</v>
      </c>
      <c r="G516" s="2" t="str" cm="1">
        <f t="array" ref="G51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6" s="2">
        <v>14000</v>
      </c>
      <c r="I516" s="3">
        <f>TabelaFretes[[#This Row],[Valor]]/TabelaFretes[[#This Row],[Quilometragem]]</f>
        <v>5.2238805970149258</v>
      </c>
      <c r="J516" s="3">
        <f>TabelaFretes[[#This Row],[Valor]]/TabelaFretes[[#This Row],[Capacidade]]</f>
        <v>437.5</v>
      </c>
    </row>
    <row r="517" spans="1:10" x14ac:dyDescent="0.3">
      <c r="A517" s="2" t="s">
        <v>203</v>
      </c>
      <c r="B517" s="2" t="s">
        <v>229</v>
      </c>
      <c r="C517" s="2" t="s">
        <v>7</v>
      </c>
      <c r="D517" s="2" cm="1">
        <f t="array" ref="D51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17" s="2">
        <v>3</v>
      </c>
      <c r="F517" s="2">
        <v>2647</v>
      </c>
      <c r="G517" s="2" t="str" cm="1">
        <f t="array" ref="G51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7" s="2">
        <v>7700</v>
      </c>
      <c r="I517" s="3">
        <f>TabelaFretes[[#This Row],[Valor]]/TabelaFretes[[#This Row],[Quilometragem]]</f>
        <v>2.9089535323007176</v>
      </c>
      <c r="J517" s="3">
        <f>TabelaFretes[[#This Row],[Valor]]/TabelaFretes[[#This Row],[Capacidade]]</f>
        <v>550</v>
      </c>
    </row>
    <row r="518" spans="1:10" x14ac:dyDescent="0.3">
      <c r="A518" s="2" t="s">
        <v>203</v>
      </c>
      <c r="B518" s="2" t="s">
        <v>230</v>
      </c>
      <c r="C518" s="2" t="s">
        <v>7</v>
      </c>
      <c r="D518" s="2" cm="1">
        <f t="array" ref="D51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18" s="2">
        <v>3</v>
      </c>
      <c r="F518" s="2">
        <v>2584</v>
      </c>
      <c r="G518" s="2" t="str" cm="1">
        <f t="array" ref="G51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8" s="2">
        <v>7700</v>
      </c>
      <c r="I518" s="3">
        <f>TabelaFretes[[#This Row],[Valor]]/TabelaFretes[[#This Row],[Quilometragem]]</f>
        <v>2.9798761609907123</v>
      </c>
      <c r="J518" s="3">
        <f>TabelaFretes[[#This Row],[Valor]]/TabelaFretes[[#This Row],[Capacidade]]</f>
        <v>550</v>
      </c>
    </row>
    <row r="519" spans="1:10" x14ac:dyDescent="0.3">
      <c r="A519" s="2" t="s">
        <v>203</v>
      </c>
      <c r="B519" s="2" t="s">
        <v>230</v>
      </c>
      <c r="C519" s="2" t="s">
        <v>9</v>
      </c>
      <c r="D519" s="2" cm="1">
        <f t="array" ref="D51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519" s="2">
        <v>4</v>
      </c>
      <c r="F519" s="2">
        <v>2584</v>
      </c>
      <c r="G519" s="2" t="str" cm="1">
        <f t="array" ref="G51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19" s="2">
        <v>9900</v>
      </c>
      <c r="I519" s="3">
        <f>TabelaFretes[[#This Row],[Valor]]/TabelaFretes[[#This Row],[Quilometragem]]</f>
        <v>3.8312693498452011</v>
      </c>
      <c r="J519" s="3">
        <f>TabelaFretes[[#This Row],[Valor]]/TabelaFretes[[#This Row],[Capacidade]]</f>
        <v>521.0526315789474</v>
      </c>
    </row>
    <row r="520" spans="1:10" x14ac:dyDescent="0.3">
      <c r="A520" s="2" t="s">
        <v>203</v>
      </c>
      <c r="B520" s="2" t="s">
        <v>230</v>
      </c>
      <c r="C520" s="2" t="s">
        <v>6</v>
      </c>
      <c r="D520" s="2" cm="1">
        <f t="array" ref="D52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20" s="2">
        <v>5</v>
      </c>
      <c r="F520" s="2">
        <v>2584</v>
      </c>
      <c r="G520" s="2" t="str" cm="1">
        <f t="array" ref="G52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0" s="2">
        <v>14000</v>
      </c>
      <c r="I520" s="3">
        <f>TabelaFretes[[#This Row],[Valor]]/TabelaFretes[[#This Row],[Quilometragem]]</f>
        <v>5.4179566563467496</v>
      </c>
      <c r="J520" s="3">
        <f>TabelaFretes[[#This Row],[Valor]]/TabelaFretes[[#This Row],[Capacidade]]</f>
        <v>518.51851851851848</v>
      </c>
    </row>
    <row r="521" spans="1:10" x14ac:dyDescent="0.3">
      <c r="A521" s="2" t="s">
        <v>203</v>
      </c>
      <c r="B521" s="2" t="s">
        <v>230</v>
      </c>
      <c r="C521" s="2" t="s">
        <v>158</v>
      </c>
      <c r="D521" s="2" cm="1">
        <f t="array" ref="D52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21" s="2">
        <v>6</v>
      </c>
      <c r="F521" s="2">
        <v>2584</v>
      </c>
      <c r="G521" s="2" t="str" cm="1">
        <f t="array" ref="G52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1" s="2">
        <v>14000</v>
      </c>
      <c r="I521" s="3">
        <f>TabelaFretes[[#This Row],[Valor]]/TabelaFretes[[#This Row],[Quilometragem]]</f>
        <v>5.4179566563467496</v>
      </c>
      <c r="J521" s="3">
        <f>TabelaFretes[[#This Row],[Valor]]/TabelaFretes[[#This Row],[Capacidade]]</f>
        <v>437.5</v>
      </c>
    </row>
    <row r="522" spans="1:10" x14ac:dyDescent="0.3">
      <c r="A522" s="2" t="s">
        <v>203</v>
      </c>
      <c r="B522" s="2" t="s">
        <v>231</v>
      </c>
      <c r="C522" s="2" t="s">
        <v>7</v>
      </c>
      <c r="D522" s="2" cm="1">
        <f t="array" ref="D52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22" s="2">
        <v>3</v>
      </c>
      <c r="F522" s="2">
        <v>2608</v>
      </c>
      <c r="G522" s="2" t="str" cm="1">
        <f t="array" ref="G52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2" s="2">
        <v>7700</v>
      </c>
      <c r="I522" s="3">
        <f>TabelaFretes[[#This Row],[Valor]]/TabelaFretes[[#This Row],[Quilometragem]]</f>
        <v>2.9524539877300615</v>
      </c>
      <c r="J522" s="3">
        <f>TabelaFretes[[#This Row],[Valor]]/TabelaFretes[[#This Row],[Capacidade]]</f>
        <v>550</v>
      </c>
    </row>
    <row r="523" spans="1:10" x14ac:dyDescent="0.3">
      <c r="A523" s="2" t="s">
        <v>203</v>
      </c>
      <c r="B523" s="2" t="s">
        <v>231</v>
      </c>
      <c r="C523" s="2" t="s">
        <v>9</v>
      </c>
      <c r="D523" s="2" cm="1">
        <f t="array" ref="D52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523" s="2">
        <v>4</v>
      </c>
      <c r="F523" s="2">
        <v>2608</v>
      </c>
      <c r="G523" s="2" t="str" cm="1">
        <f t="array" ref="G52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3" s="2">
        <v>9900</v>
      </c>
      <c r="I523" s="3">
        <f>TabelaFretes[[#This Row],[Valor]]/TabelaFretes[[#This Row],[Quilometragem]]</f>
        <v>3.7960122699386503</v>
      </c>
      <c r="J523" s="3">
        <f>TabelaFretes[[#This Row],[Valor]]/TabelaFretes[[#This Row],[Capacidade]]</f>
        <v>521.0526315789474</v>
      </c>
    </row>
    <row r="524" spans="1:10" x14ac:dyDescent="0.3">
      <c r="A524" s="2" t="s">
        <v>203</v>
      </c>
      <c r="B524" s="2" t="s">
        <v>231</v>
      </c>
      <c r="C524" s="2" t="s">
        <v>6</v>
      </c>
      <c r="D524" s="2" cm="1">
        <f t="array" ref="D52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24" s="2">
        <v>5</v>
      </c>
      <c r="F524" s="2">
        <v>2608</v>
      </c>
      <c r="G524" s="2" t="str" cm="1">
        <f t="array" ref="G52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4" s="2">
        <v>14000</v>
      </c>
      <c r="I524" s="3">
        <f>TabelaFretes[[#This Row],[Valor]]/TabelaFretes[[#This Row],[Quilometragem]]</f>
        <v>5.3680981595092021</v>
      </c>
      <c r="J524" s="3">
        <f>TabelaFretes[[#This Row],[Valor]]/TabelaFretes[[#This Row],[Capacidade]]</f>
        <v>518.51851851851848</v>
      </c>
    </row>
    <row r="525" spans="1:10" x14ac:dyDescent="0.3">
      <c r="A525" s="2" t="s">
        <v>203</v>
      </c>
      <c r="B525" s="2" t="s">
        <v>231</v>
      </c>
      <c r="C525" s="2" t="s">
        <v>158</v>
      </c>
      <c r="D525" s="2" cm="1">
        <f t="array" ref="D52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25" s="2">
        <v>6</v>
      </c>
      <c r="F525" s="2">
        <v>2608</v>
      </c>
      <c r="G525" s="2" t="str" cm="1">
        <f t="array" ref="G52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5" s="2">
        <v>14000</v>
      </c>
      <c r="I525" s="3">
        <f>TabelaFretes[[#This Row],[Valor]]/TabelaFretes[[#This Row],[Quilometragem]]</f>
        <v>5.3680981595092021</v>
      </c>
      <c r="J525" s="3">
        <f>TabelaFretes[[#This Row],[Valor]]/TabelaFretes[[#This Row],[Capacidade]]</f>
        <v>437.5</v>
      </c>
    </row>
    <row r="526" spans="1:10" x14ac:dyDescent="0.3">
      <c r="A526" s="2" t="s">
        <v>203</v>
      </c>
      <c r="B526" s="2" t="s">
        <v>232</v>
      </c>
      <c r="C526" s="2" t="s">
        <v>7</v>
      </c>
      <c r="D526" s="2" cm="1">
        <f t="array" ref="D52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26" s="2">
        <v>3</v>
      </c>
      <c r="F526" s="2">
        <v>2598</v>
      </c>
      <c r="G526" s="2" t="str" cm="1">
        <f t="array" ref="G52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6" s="2">
        <v>7700</v>
      </c>
      <c r="I526" s="3">
        <f>TabelaFretes[[#This Row],[Valor]]/TabelaFretes[[#This Row],[Quilometragem]]</f>
        <v>2.9638183217859893</v>
      </c>
      <c r="J526" s="3">
        <f>TabelaFretes[[#This Row],[Valor]]/TabelaFretes[[#This Row],[Capacidade]]</f>
        <v>550</v>
      </c>
    </row>
    <row r="527" spans="1:10" x14ac:dyDescent="0.3">
      <c r="A527" s="2" t="s">
        <v>203</v>
      </c>
      <c r="B527" s="2" t="s">
        <v>232</v>
      </c>
      <c r="C527" s="2" t="s">
        <v>9</v>
      </c>
      <c r="D527" s="2" cm="1">
        <f t="array" ref="D52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527" s="2">
        <v>4</v>
      </c>
      <c r="F527" s="2">
        <v>2598</v>
      </c>
      <c r="G527" s="2" t="str" cm="1">
        <f t="array" ref="G52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7" s="2">
        <v>9900</v>
      </c>
      <c r="I527" s="3">
        <f>TabelaFretes[[#This Row],[Valor]]/TabelaFretes[[#This Row],[Quilometragem]]</f>
        <v>3.8106235565819859</v>
      </c>
      <c r="J527" s="3">
        <f>TabelaFretes[[#This Row],[Valor]]/TabelaFretes[[#This Row],[Capacidade]]</f>
        <v>521.0526315789474</v>
      </c>
    </row>
    <row r="528" spans="1:10" x14ac:dyDescent="0.3">
      <c r="A528" s="2" t="s">
        <v>203</v>
      </c>
      <c r="B528" s="2" t="s">
        <v>232</v>
      </c>
      <c r="C528" s="2" t="s">
        <v>6</v>
      </c>
      <c r="D528" s="2" cm="1">
        <f t="array" ref="D52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28" s="2">
        <v>5</v>
      </c>
      <c r="F528" s="2">
        <v>2598</v>
      </c>
      <c r="G528" s="2" t="str" cm="1">
        <f t="array" ref="G52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8" s="2">
        <v>14000</v>
      </c>
      <c r="I528" s="3">
        <f>TabelaFretes[[#This Row],[Valor]]/TabelaFretes[[#This Row],[Quilometragem]]</f>
        <v>5.3887605850654348</v>
      </c>
      <c r="J528" s="3">
        <f>TabelaFretes[[#This Row],[Valor]]/TabelaFretes[[#This Row],[Capacidade]]</f>
        <v>518.51851851851848</v>
      </c>
    </row>
    <row r="529" spans="1:10" x14ac:dyDescent="0.3">
      <c r="A529" s="2" t="s">
        <v>203</v>
      </c>
      <c r="B529" s="2" t="s">
        <v>232</v>
      </c>
      <c r="C529" s="2" t="s">
        <v>158</v>
      </c>
      <c r="D529" s="2" cm="1">
        <f t="array" ref="D52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29" s="2">
        <v>6</v>
      </c>
      <c r="F529" s="2">
        <v>2598</v>
      </c>
      <c r="G529" s="2" t="str" cm="1">
        <f t="array" ref="G52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29" s="2">
        <v>14000</v>
      </c>
      <c r="I529" s="3">
        <f>TabelaFretes[[#This Row],[Valor]]/TabelaFretes[[#This Row],[Quilometragem]]</f>
        <v>5.3887605850654348</v>
      </c>
      <c r="J529" s="3">
        <f>TabelaFretes[[#This Row],[Valor]]/TabelaFretes[[#This Row],[Capacidade]]</f>
        <v>437.5</v>
      </c>
    </row>
    <row r="530" spans="1:10" x14ac:dyDescent="0.3">
      <c r="A530" s="2" t="s">
        <v>203</v>
      </c>
      <c r="B530" s="2" t="s">
        <v>233</v>
      </c>
      <c r="C530" s="2" t="s">
        <v>7</v>
      </c>
      <c r="D530" s="2" cm="1">
        <f t="array" ref="D53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30" s="2">
        <v>3</v>
      </c>
      <c r="F530" s="2">
        <v>2528</v>
      </c>
      <c r="G530" s="2" t="str" cm="1">
        <f t="array" ref="G53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30" s="2">
        <v>7700</v>
      </c>
      <c r="I530" s="3">
        <f>TabelaFretes[[#This Row],[Valor]]/TabelaFretes[[#This Row],[Quilometragem]]</f>
        <v>3.0458860759493671</v>
      </c>
      <c r="J530" s="3">
        <f>TabelaFretes[[#This Row],[Valor]]/TabelaFretes[[#This Row],[Capacidade]]</f>
        <v>550</v>
      </c>
    </row>
    <row r="531" spans="1:10" x14ac:dyDescent="0.3">
      <c r="A531" s="2" t="s">
        <v>203</v>
      </c>
      <c r="B531" s="2" t="s">
        <v>233</v>
      </c>
      <c r="C531" s="2" t="s">
        <v>6</v>
      </c>
      <c r="D531" s="2" cm="1">
        <f t="array" ref="D53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31" s="2">
        <v>5</v>
      </c>
      <c r="F531" s="2">
        <v>2528</v>
      </c>
      <c r="G531" s="2" t="str" cm="1">
        <f t="array" ref="G53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31" s="2">
        <v>14000</v>
      </c>
      <c r="I531" s="3">
        <f>TabelaFretes[[#This Row],[Valor]]/TabelaFretes[[#This Row],[Quilometragem]]</f>
        <v>5.537974683544304</v>
      </c>
      <c r="J531" s="3">
        <f>TabelaFretes[[#This Row],[Valor]]/TabelaFretes[[#This Row],[Capacidade]]</f>
        <v>518.51851851851848</v>
      </c>
    </row>
    <row r="532" spans="1:10" x14ac:dyDescent="0.3">
      <c r="A532" s="2" t="s">
        <v>203</v>
      </c>
      <c r="B532" s="2" t="s">
        <v>233</v>
      </c>
      <c r="C532" s="2" t="s">
        <v>158</v>
      </c>
      <c r="D532" s="2" cm="1">
        <f t="array" ref="D53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32" s="2">
        <v>6</v>
      </c>
      <c r="F532" s="2">
        <v>2528</v>
      </c>
      <c r="G532" s="2" t="str" cm="1">
        <f t="array" ref="G53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32" s="2">
        <v>14000</v>
      </c>
      <c r="I532" s="3">
        <f>TabelaFretes[[#This Row],[Valor]]/TabelaFretes[[#This Row],[Quilometragem]]</f>
        <v>5.537974683544304</v>
      </c>
      <c r="J532" s="3">
        <f>TabelaFretes[[#This Row],[Valor]]/TabelaFretes[[#This Row],[Capacidade]]</f>
        <v>437.5</v>
      </c>
    </row>
    <row r="533" spans="1:10" x14ac:dyDescent="0.3">
      <c r="A533" s="2" t="s">
        <v>203</v>
      </c>
      <c r="B533" s="2" t="s">
        <v>234</v>
      </c>
      <c r="C533" s="2" t="s">
        <v>7</v>
      </c>
      <c r="D533" s="2" cm="1">
        <f t="array" ref="D53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33" s="2">
        <v>3</v>
      </c>
      <c r="F533" s="2">
        <v>2560</v>
      </c>
      <c r="G533" s="2" t="str" cm="1">
        <f t="array" ref="G53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33" s="2">
        <v>7700</v>
      </c>
      <c r="I533" s="3">
        <f>TabelaFretes[[#This Row],[Valor]]/TabelaFretes[[#This Row],[Quilometragem]]</f>
        <v>3.0078125</v>
      </c>
      <c r="J533" s="3">
        <f>TabelaFretes[[#This Row],[Valor]]/TabelaFretes[[#This Row],[Capacidade]]</f>
        <v>550</v>
      </c>
    </row>
    <row r="534" spans="1:10" x14ac:dyDescent="0.3">
      <c r="A534" s="2" t="s">
        <v>203</v>
      </c>
      <c r="B534" s="2" t="s">
        <v>234</v>
      </c>
      <c r="C534" s="2" t="s">
        <v>6</v>
      </c>
      <c r="D534" s="2" cm="1">
        <f t="array" ref="D53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34" s="2">
        <v>5</v>
      </c>
      <c r="F534" s="2">
        <v>2560</v>
      </c>
      <c r="G534" s="2" t="str" cm="1">
        <f t="array" ref="G53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34" s="2">
        <v>14000</v>
      </c>
      <c r="I534" s="3">
        <f>TabelaFretes[[#This Row],[Valor]]/TabelaFretes[[#This Row],[Quilometragem]]</f>
        <v>5.46875</v>
      </c>
      <c r="J534" s="3">
        <f>TabelaFretes[[#This Row],[Valor]]/TabelaFretes[[#This Row],[Capacidade]]</f>
        <v>518.51851851851848</v>
      </c>
    </row>
    <row r="535" spans="1:10" x14ac:dyDescent="0.3">
      <c r="A535" s="2" t="s">
        <v>203</v>
      </c>
      <c r="B535" s="2" t="s">
        <v>234</v>
      </c>
      <c r="C535" s="2" t="s">
        <v>158</v>
      </c>
      <c r="D535" s="2" cm="1">
        <f t="array" ref="D53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35" s="2">
        <v>6</v>
      </c>
      <c r="F535" s="2">
        <v>2560</v>
      </c>
      <c r="G535" s="2" t="str" cm="1">
        <f t="array" ref="G53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35" s="2">
        <v>14000</v>
      </c>
      <c r="I535" s="3">
        <f>TabelaFretes[[#This Row],[Valor]]/TabelaFretes[[#This Row],[Quilometragem]]</f>
        <v>5.46875</v>
      </c>
      <c r="J535" s="3">
        <f>TabelaFretes[[#This Row],[Valor]]/TabelaFretes[[#This Row],[Capacidade]]</f>
        <v>437.5</v>
      </c>
    </row>
    <row r="536" spans="1:10" x14ac:dyDescent="0.3">
      <c r="A536" s="2" t="s">
        <v>203</v>
      </c>
      <c r="B536" s="2" t="s">
        <v>235</v>
      </c>
      <c r="C536" s="2" t="s">
        <v>7</v>
      </c>
      <c r="D536" s="2" cm="1">
        <f t="array" ref="D53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36" s="2">
        <v>3</v>
      </c>
      <c r="F536" s="2">
        <v>2475</v>
      </c>
      <c r="G536" s="2" t="str" cm="1">
        <f t="array" ref="G53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36" s="2">
        <v>7700</v>
      </c>
      <c r="I536" s="3">
        <f>TabelaFretes[[#This Row],[Valor]]/TabelaFretes[[#This Row],[Quilometragem]]</f>
        <v>3.1111111111111112</v>
      </c>
      <c r="J536" s="3">
        <f>TabelaFretes[[#This Row],[Valor]]/TabelaFretes[[#This Row],[Capacidade]]</f>
        <v>550</v>
      </c>
    </row>
    <row r="537" spans="1:10" x14ac:dyDescent="0.3">
      <c r="A537" s="2" t="s">
        <v>203</v>
      </c>
      <c r="B537" s="2" t="s">
        <v>235</v>
      </c>
      <c r="C537" s="2" t="s">
        <v>6</v>
      </c>
      <c r="D537" s="2" cm="1">
        <f t="array" ref="D53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37" s="2">
        <v>5</v>
      </c>
      <c r="F537" s="2">
        <v>2475</v>
      </c>
      <c r="G537" s="2" t="str" cm="1">
        <f t="array" ref="G53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37" s="2">
        <v>14000</v>
      </c>
      <c r="I537" s="3">
        <f>TabelaFretes[[#This Row],[Valor]]/TabelaFretes[[#This Row],[Quilometragem]]</f>
        <v>5.6565656565656566</v>
      </c>
      <c r="J537" s="3">
        <f>TabelaFretes[[#This Row],[Valor]]/TabelaFretes[[#This Row],[Capacidade]]</f>
        <v>518.51851851851848</v>
      </c>
    </row>
    <row r="538" spans="1:10" x14ac:dyDescent="0.3">
      <c r="A538" s="2" t="s">
        <v>203</v>
      </c>
      <c r="B538" s="2" t="s">
        <v>235</v>
      </c>
      <c r="C538" s="2" t="s">
        <v>158</v>
      </c>
      <c r="D538" s="2" cm="1">
        <f t="array" ref="D53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38" s="2">
        <v>6</v>
      </c>
      <c r="F538" s="2">
        <v>2475</v>
      </c>
      <c r="G538" s="2" t="str" cm="1">
        <f t="array" ref="G53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38" s="2">
        <v>14000</v>
      </c>
      <c r="I538" s="3">
        <f>TabelaFretes[[#This Row],[Valor]]/TabelaFretes[[#This Row],[Quilometragem]]</f>
        <v>5.6565656565656566</v>
      </c>
      <c r="J538" s="3">
        <f>TabelaFretes[[#This Row],[Valor]]/TabelaFretes[[#This Row],[Capacidade]]</f>
        <v>437.5</v>
      </c>
    </row>
    <row r="539" spans="1:10" x14ac:dyDescent="0.3">
      <c r="A539" s="2" t="s">
        <v>203</v>
      </c>
      <c r="B539" s="2" t="s">
        <v>236</v>
      </c>
      <c r="C539" s="2" t="s">
        <v>7</v>
      </c>
      <c r="D539" s="2" cm="1">
        <f t="array" ref="D53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39" s="2">
        <v>3</v>
      </c>
      <c r="F539" s="2">
        <v>2772</v>
      </c>
      <c r="G539" s="2" t="str" cm="1">
        <f t="array" ref="G53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39" s="2">
        <v>7700</v>
      </c>
      <c r="I539" s="3">
        <f>TabelaFretes[[#This Row],[Valor]]/TabelaFretes[[#This Row],[Quilometragem]]</f>
        <v>2.7777777777777777</v>
      </c>
      <c r="J539" s="3">
        <f>TabelaFretes[[#This Row],[Valor]]/TabelaFretes[[#This Row],[Capacidade]]</f>
        <v>550</v>
      </c>
    </row>
    <row r="540" spans="1:10" x14ac:dyDescent="0.3">
      <c r="A540" s="2" t="s">
        <v>203</v>
      </c>
      <c r="B540" s="2" t="s">
        <v>236</v>
      </c>
      <c r="C540" s="2" t="s">
        <v>6</v>
      </c>
      <c r="D540" s="2" cm="1">
        <f t="array" ref="D54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40" s="2">
        <v>5</v>
      </c>
      <c r="F540" s="2">
        <v>2772</v>
      </c>
      <c r="G540" s="2" t="str" cm="1">
        <f t="array" ref="G54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40" s="2">
        <v>14000</v>
      </c>
      <c r="I540" s="3">
        <f>TabelaFretes[[#This Row],[Valor]]/TabelaFretes[[#This Row],[Quilometragem]]</f>
        <v>5.0505050505050502</v>
      </c>
      <c r="J540" s="3">
        <f>TabelaFretes[[#This Row],[Valor]]/TabelaFretes[[#This Row],[Capacidade]]</f>
        <v>518.51851851851848</v>
      </c>
    </row>
    <row r="541" spans="1:10" x14ac:dyDescent="0.3">
      <c r="A541" s="2" t="s">
        <v>203</v>
      </c>
      <c r="B541" s="2" t="s">
        <v>236</v>
      </c>
      <c r="C541" s="2" t="s">
        <v>158</v>
      </c>
      <c r="D541" s="2" cm="1">
        <f t="array" ref="D54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41" s="2">
        <v>6</v>
      </c>
      <c r="F541" s="2">
        <v>2772</v>
      </c>
      <c r="G541" s="2" t="str" cm="1">
        <f t="array" ref="G54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41" s="2">
        <v>14000</v>
      </c>
      <c r="I541" s="3">
        <f>TabelaFretes[[#This Row],[Valor]]/TabelaFretes[[#This Row],[Quilometragem]]</f>
        <v>5.0505050505050502</v>
      </c>
      <c r="J541" s="3">
        <f>TabelaFretes[[#This Row],[Valor]]/TabelaFretes[[#This Row],[Capacidade]]</f>
        <v>437.5</v>
      </c>
    </row>
    <row r="542" spans="1:10" x14ac:dyDescent="0.3">
      <c r="A542" s="2" t="s">
        <v>203</v>
      </c>
      <c r="B542" s="2" t="s">
        <v>237</v>
      </c>
      <c r="C542" s="2" t="s">
        <v>7</v>
      </c>
      <c r="D542" s="2" cm="1">
        <f t="array" ref="D54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42" s="2">
        <v>3</v>
      </c>
      <c r="F542" s="2">
        <v>2661</v>
      </c>
      <c r="G542" s="2" t="str" cm="1">
        <f t="array" ref="G54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42" s="2">
        <v>7700</v>
      </c>
      <c r="I542" s="3">
        <f>TabelaFretes[[#This Row],[Valor]]/TabelaFretes[[#This Row],[Quilometragem]]</f>
        <v>2.8936490041337843</v>
      </c>
      <c r="J542" s="3">
        <f>TabelaFretes[[#This Row],[Valor]]/TabelaFretes[[#This Row],[Capacidade]]</f>
        <v>550</v>
      </c>
    </row>
    <row r="543" spans="1:10" x14ac:dyDescent="0.3">
      <c r="A543" s="2" t="s">
        <v>203</v>
      </c>
      <c r="B543" s="2" t="s">
        <v>237</v>
      </c>
      <c r="C543" s="2" t="s">
        <v>6</v>
      </c>
      <c r="D543" s="2" cm="1">
        <f t="array" ref="D54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43" s="2">
        <v>5</v>
      </c>
      <c r="F543" s="2">
        <v>2661</v>
      </c>
      <c r="G543" s="2" t="str" cm="1">
        <f t="array" ref="G54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43" s="2">
        <v>14000</v>
      </c>
      <c r="I543" s="3">
        <f>TabelaFretes[[#This Row],[Valor]]/TabelaFretes[[#This Row],[Quilometragem]]</f>
        <v>5.2611800075159714</v>
      </c>
      <c r="J543" s="3">
        <f>TabelaFretes[[#This Row],[Valor]]/TabelaFretes[[#This Row],[Capacidade]]</f>
        <v>518.51851851851848</v>
      </c>
    </row>
    <row r="544" spans="1:10" x14ac:dyDescent="0.3">
      <c r="A544" s="2" t="s">
        <v>203</v>
      </c>
      <c r="B544" s="2" t="s">
        <v>237</v>
      </c>
      <c r="C544" s="2" t="s">
        <v>158</v>
      </c>
      <c r="D544" s="2" cm="1">
        <f t="array" ref="D54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44" s="2">
        <v>6</v>
      </c>
      <c r="F544" s="2">
        <v>2661</v>
      </c>
      <c r="G544" s="2" t="str" cm="1">
        <f t="array" ref="G54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44" s="2">
        <v>14000</v>
      </c>
      <c r="I544" s="3">
        <f>TabelaFretes[[#This Row],[Valor]]/TabelaFretes[[#This Row],[Quilometragem]]</f>
        <v>5.2611800075159714</v>
      </c>
      <c r="J544" s="3">
        <f>TabelaFretes[[#This Row],[Valor]]/TabelaFretes[[#This Row],[Capacidade]]</f>
        <v>437.5</v>
      </c>
    </row>
    <row r="545" spans="1:10" x14ac:dyDescent="0.3">
      <c r="A545" s="2" t="s">
        <v>203</v>
      </c>
      <c r="B545" s="2" t="s">
        <v>238</v>
      </c>
      <c r="C545" s="2" t="s">
        <v>7</v>
      </c>
      <c r="D545" s="2" cm="1">
        <f t="array" ref="D54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45" s="2">
        <v>3</v>
      </c>
      <c r="F545" s="2">
        <v>2704</v>
      </c>
      <c r="G545" s="2" t="str" cm="1">
        <f t="array" ref="G54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45" s="2">
        <v>7700</v>
      </c>
      <c r="I545" s="3">
        <f>TabelaFretes[[#This Row],[Valor]]/TabelaFretes[[#This Row],[Quilometragem]]</f>
        <v>2.8476331360946747</v>
      </c>
      <c r="J545" s="3">
        <f>TabelaFretes[[#This Row],[Valor]]/TabelaFretes[[#This Row],[Capacidade]]</f>
        <v>550</v>
      </c>
    </row>
    <row r="546" spans="1:10" x14ac:dyDescent="0.3">
      <c r="A546" s="2" t="s">
        <v>203</v>
      </c>
      <c r="B546" s="2" t="s">
        <v>238</v>
      </c>
      <c r="C546" s="2" t="s">
        <v>6</v>
      </c>
      <c r="D546" s="2" cm="1">
        <f t="array" ref="D54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46" s="2">
        <v>5</v>
      </c>
      <c r="F546" s="2">
        <v>2704</v>
      </c>
      <c r="G546" s="2" t="str" cm="1">
        <f t="array" ref="G54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46" s="2">
        <v>14000</v>
      </c>
      <c r="I546" s="3">
        <f>TabelaFretes[[#This Row],[Valor]]/TabelaFretes[[#This Row],[Quilometragem]]</f>
        <v>5.1775147928994079</v>
      </c>
      <c r="J546" s="3">
        <f>TabelaFretes[[#This Row],[Valor]]/TabelaFretes[[#This Row],[Capacidade]]</f>
        <v>518.51851851851848</v>
      </c>
    </row>
    <row r="547" spans="1:10" x14ac:dyDescent="0.3">
      <c r="A547" s="2" t="s">
        <v>203</v>
      </c>
      <c r="B547" s="2" t="s">
        <v>238</v>
      </c>
      <c r="C547" s="2" t="s">
        <v>158</v>
      </c>
      <c r="D547" s="2" cm="1">
        <f t="array" ref="D54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47" s="2">
        <v>6</v>
      </c>
      <c r="F547" s="2">
        <v>2704</v>
      </c>
      <c r="G547" s="2" t="str" cm="1">
        <f t="array" ref="G54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47" s="2">
        <v>14000</v>
      </c>
      <c r="I547" s="3">
        <f>TabelaFretes[[#This Row],[Valor]]/TabelaFretes[[#This Row],[Quilometragem]]</f>
        <v>5.1775147928994079</v>
      </c>
      <c r="J547" s="3">
        <f>TabelaFretes[[#This Row],[Valor]]/TabelaFretes[[#This Row],[Capacidade]]</f>
        <v>437.5</v>
      </c>
    </row>
    <row r="548" spans="1:10" x14ac:dyDescent="0.3">
      <c r="A548" s="2" t="s">
        <v>203</v>
      </c>
      <c r="B548" s="2" t="s">
        <v>239</v>
      </c>
      <c r="C548" s="2" t="s">
        <v>7</v>
      </c>
      <c r="D548" s="2" cm="1">
        <f t="array" ref="D54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48" s="2">
        <v>3</v>
      </c>
      <c r="F548" s="2">
        <v>2574</v>
      </c>
      <c r="G548" s="2" t="str" cm="1">
        <f t="array" ref="G54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48" s="2">
        <v>7700</v>
      </c>
      <c r="I548" s="3">
        <f>TabelaFretes[[#This Row],[Valor]]/TabelaFretes[[#This Row],[Quilometragem]]</f>
        <v>2.9914529914529915</v>
      </c>
      <c r="J548" s="3">
        <f>TabelaFretes[[#This Row],[Valor]]/TabelaFretes[[#This Row],[Capacidade]]</f>
        <v>550</v>
      </c>
    </row>
    <row r="549" spans="1:10" x14ac:dyDescent="0.3">
      <c r="A549" s="2" t="s">
        <v>203</v>
      </c>
      <c r="B549" s="2" t="s">
        <v>239</v>
      </c>
      <c r="C549" s="2" t="s">
        <v>6</v>
      </c>
      <c r="D549" s="2" cm="1">
        <f t="array" ref="D54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49" s="2">
        <v>5</v>
      </c>
      <c r="F549" s="2">
        <v>2574</v>
      </c>
      <c r="G549" s="2" t="str" cm="1">
        <f t="array" ref="G54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49" s="2">
        <v>14000</v>
      </c>
      <c r="I549" s="3">
        <f>TabelaFretes[[#This Row],[Valor]]/TabelaFretes[[#This Row],[Quilometragem]]</f>
        <v>5.439005439005439</v>
      </c>
      <c r="J549" s="3">
        <f>TabelaFretes[[#This Row],[Valor]]/TabelaFretes[[#This Row],[Capacidade]]</f>
        <v>518.51851851851848</v>
      </c>
    </row>
    <row r="550" spans="1:10" x14ac:dyDescent="0.3">
      <c r="A550" s="2" t="s">
        <v>203</v>
      </c>
      <c r="B550" s="2" t="s">
        <v>239</v>
      </c>
      <c r="C550" s="2" t="s">
        <v>158</v>
      </c>
      <c r="D550" s="2" cm="1">
        <f t="array" ref="D55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50" s="2">
        <v>6</v>
      </c>
      <c r="F550" s="2">
        <v>2574</v>
      </c>
      <c r="G550" s="2" t="str" cm="1">
        <f t="array" ref="G55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0" s="2">
        <v>14000</v>
      </c>
      <c r="I550" s="3">
        <f>TabelaFretes[[#This Row],[Valor]]/TabelaFretes[[#This Row],[Quilometragem]]</f>
        <v>5.439005439005439</v>
      </c>
      <c r="J550" s="3">
        <f>TabelaFretes[[#This Row],[Valor]]/TabelaFretes[[#This Row],[Capacidade]]</f>
        <v>437.5</v>
      </c>
    </row>
    <row r="551" spans="1:10" x14ac:dyDescent="0.3">
      <c r="A551" s="2" t="s">
        <v>203</v>
      </c>
      <c r="B551" s="2" t="s">
        <v>240</v>
      </c>
      <c r="C551" s="2" t="s">
        <v>7</v>
      </c>
      <c r="D551" s="2" cm="1">
        <f t="array" ref="D55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51" s="2">
        <v>3</v>
      </c>
      <c r="F551" s="2">
        <v>2558</v>
      </c>
      <c r="G551" s="2" t="str" cm="1">
        <f t="array" ref="G55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1" s="2">
        <v>7700</v>
      </c>
      <c r="I551" s="3">
        <f>TabelaFretes[[#This Row],[Valor]]/TabelaFretes[[#This Row],[Quilometragem]]</f>
        <v>3.0101641907740424</v>
      </c>
      <c r="J551" s="3">
        <f>TabelaFretes[[#This Row],[Valor]]/TabelaFretes[[#This Row],[Capacidade]]</f>
        <v>550</v>
      </c>
    </row>
    <row r="552" spans="1:10" x14ac:dyDescent="0.3">
      <c r="A552" s="2" t="s">
        <v>203</v>
      </c>
      <c r="B552" s="2" t="s">
        <v>240</v>
      </c>
      <c r="C552" s="2" t="s">
        <v>6</v>
      </c>
      <c r="D552" s="2" cm="1">
        <f t="array" ref="D55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52" s="2">
        <v>5</v>
      </c>
      <c r="F552" s="2">
        <v>2558</v>
      </c>
      <c r="G552" s="2" t="str" cm="1">
        <f t="array" ref="G55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2" s="2">
        <v>14000</v>
      </c>
      <c r="I552" s="3">
        <f>TabelaFretes[[#This Row],[Valor]]/TabelaFretes[[#This Row],[Quilometragem]]</f>
        <v>5.4730258014073492</v>
      </c>
      <c r="J552" s="3">
        <f>TabelaFretes[[#This Row],[Valor]]/TabelaFretes[[#This Row],[Capacidade]]</f>
        <v>518.51851851851848</v>
      </c>
    </row>
    <row r="553" spans="1:10" x14ac:dyDescent="0.3">
      <c r="A553" s="2" t="s">
        <v>203</v>
      </c>
      <c r="B553" s="2" t="s">
        <v>240</v>
      </c>
      <c r="C553" s="2" t="s">
        <v>158</v>
      </c>
      <c r="D553" s="2" cm="1">
        <f t="array" ref="D55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53" s="2">
        <v>6</v>
      </c>
      <c r="F553" s="2">
        <v>2558</v>
      </c>
      <c r="G553" s="2" t="str" cm="1">
        <f t="array" ref="G55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3" s="2">
        <v>14000</v>
      </c>
      <c r="I553" s="3">
        <f>TabelaFretes[[#This Row],[Valor]]/TabelaFretes[[#This Row],[Quilometragem]]</f>
        <v>5.4730258014073492</v>
      </c>
      <c r="J553" s="3">
        <f>TabelaFretes[[#This Row],[Valor]]/TabelaFretes[[#This Row],[Capacidade]]</f>
        <v>437.5</v>
      </c>
    </row>
    <row r="554" spans="1:10" x14ac:dyDescent="0.3">
      <c r="A554" s="2" t="s">
        <v>203</v>
      </c>
      <c r="B554" s="2" t="s">
        <v>241</v>
      </c>
      <c r="C554" s="2" t="s">
        <v>7</v>
      </c>
      <c r="D554" s="2" cm="1">
        <f t="array" ref="D55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54" s="2">
        <v>3</v>
      </c>
      <c r="F554" s="2">
        <v>2467</v>
      </c>
      <c r="G554" s="2" t="str" cm="1">
        <f t="array" ref="G55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4" s="2">
        <v>7700</v>
      </c>
      <c r="I554" s="3">
        <f>TabelaFretes[[#This Row],[Valor]]/TabelaFretes[[#This Row],[Quilometragem]]</f>
        <v>3.1211998378597485</v>
      </c>
      <c r="J554" s="3">
        <f>TabelaFretes[[#This Row],[Valor]]/TabelaFretes[[#This Row],[Capacidade]]</f>
        <v>550</v>
      </c>
    </row>
    <row r="555" spans="1:10" x14ac:dyDescent="0.3">
      <c r="A555" s="2" t="s">
        <v>203</v>
      </c>
      <c r="B555" s="2" t="s">
        <v>241</v>
      </c>
      <c r="C555" s="2" t="s">
        <v>6</v>
      </c>
      <c r="D555" s="2" cm="1">
        <f t="array" ref="D55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55" s="2">
        <v>5</v>
      </c>
      <c r="F555" s="2">
        <v>2467</v>
      </c>
      <c r="G555" s="2" t="str" cm="1">
        <f t="array" ref="G55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5" s="2">
        <v>14000</v>
      </c>
      <c r="I555" s="3">
        <f>TabelaFretes[[#This Row],[Valor]]/TabelaFretes[[#This Row],[Quilometragem]]</f>
        <v>5.6749087961086335</v>
      </c>
      <c r="J555" s="3">
        <f>TabelaFretes[[#This Row],[Valor]]/TabelaFretes[[#This Row],[Capacidade]]</f>
        <v>518.51851851851848</v>
      </c>
    </row>
    <row r="556" spans="1:10" x14ac:dyDescent="0.3">
      <c r="A556" s="2" t="s">
        <v>203</v>
      </c>
      <c r="B556" s="2" t="s">
        <v>241</v>
      </c>
      <c r="C556" s="2" t="s">
        <v>158</v>
      </c>
      <c r="D556" s="2" cm="1">
        <f t="array" ref="D55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56" s="2">
        <v>6</v>
      </c>
      <c r="F556" s="2">
        <v>2467</v>
      </c>
      <c r="G556" s="2" t="str" cm="1">
        <f t="array" ref="G55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6" s="2">
        <v>14000</v>
      </c>
      <c r="I556" s="3">
        <f>TabelaFretes[[#This Row],[Valor]]/TabelaFretes[[#This Row],[Quilometragem]]</f>
        <v>5.6749087961086335</v>
      </c>
      <c r="J556" s="3">
        <f>TabelaFretes[[#This Row],[Valor]]/TabelaFretes[[#This Row],[Capacidade]]</f>
        <v>437.5</v>
      </c>
    </row>
    <row r="557" spans="1:10" x14ac:dyDescent="0.3">
      <c r="A557" s="2" t="s">
        <v>203</v>
      </c>
      <c r="B557" s="2" t="s">
        <v>242</v>
      </c>
      <c r="C557" s="2" t="s">
        <v>7</v>
      </c>
      <c r="D557" s="2" cm="1">
        <f t="array" ref="D55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57" s="2">
        <v>3</v>
      </c>
      <c r="F557" s="2">
        <v>2568</v>
      </c>
      <c r="G557" s="2" t="str" cm="1">
        <f t="array" ref="G55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7" s="2">
        <v>7700</v>
      </c>
      <c r="I557" s="3">
        <f>TabelaFretes[[#This Row],[Valor]]/TabelaFretes[[#This Row],[Quilometragem]]</f>
        <v>2.9984423676012462</v>
      </c>
      <c r="J557" s="3">
        <f>TabelaFretes[[#This Row],[Valor]]/TabelaFretes[[#This Row],[Capacidade]]</f>
        <v>550</v>
      </c>
    </row>
    <row r="558" spans="1:10" x14ac:dyDescent="0.3">
      <c r="A558" s="2" t="s">
        <v>203</v>
      </c>
      <c r="B558" s="2" t="s">
        <v>242</v>
      </c>
      <c r="C558" s="2" t="s">
        <v>6</v>
      </c>
      <c r="D558" s="2" cm="1">
        <f t="array" ref="D55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58" s="2">
        <v>5</v>
      </c>
      <c r="F558" s="2">
        <v>2568</v>
      </c>
      <c r="G558" s="2" t="str" cm="1">
        <f t="array" ref="G55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8" s="2">
        <v>14000</v>
      </c>
      <c r="I558" s="3">
        <f>TabelaFretes[[#This Row],[Valor]]/TabelaFretes[[#This Row],[Quilometragem]]</f>
        <v>5.4517133956386292</v>
      </c>
      <c r="J558" s="3">
        <f>TabelaFretes[[#This Row],[Valor]]/TabelaFretes[[#This Row],[Capacidade]]</f>
        <v>518.51851851851848</v>
      </c>
    </row>
    <row r="559" spans="1:10" x14ac:dyDescent="0.3">
      <c r="A559" s="2" t="s">
        <v>203</v>
      </c>
      <c r="B559" s="2" t="s">
        <v>242</v>
      </c>
      <c r="C559" s="2" t="s">
        <v>158</v>
      </c>
      <c r="D559" s="2" cm="1">
        <f t="array" ref="D55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59" s="2">
        <v>6</v>
      </c>
      <c r="F559" s="2">
        <v>2568</v>
      </c>
      <c r="G559" s="2" t="str" cm="1">
        <f t="array" ref="G55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59" s="2">
        <v>14000</v>
      </c>
      <c r="I559" s="3">
        <f>TabelaFretes[[#This Row],[Valor]]/TabelaFretes[[#This Row],[Quilometragem]]</f>
        <v>5.4517133956386292</v>
      </c>
      <c r="J559" s="3">
        <f>TabelaFretes[[#This Row],[Valor]]/TabelaFretes[[#This Row],[Capacidade]]</f>
        <v>437.5</v>
      </c>
    </row>
    <row r="560" spans="1:10" x14ac:dyDescent="0.3">
      <c r="A560" s="2" t="s">
        <v>203</v>
      </c>
      <c r="B560" s="2" t="s">
        <v>243</v>
      </c>
      <c r="C560" s="2" t="s">
        <v>7</v>
      </c>
      <c r="D560" s="2" cm="1">
        <f t="array" ref="D56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60" s="2">
        <v>3</v>
      </c>
      <c r="F560" s="2">
        <v>2678</v>
      </c>
      <c r="G560" s="2" t="str" cm="1">
        <f t="array" ref="G56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0" s="2">
        <v>7700</v>
      </c>
      <c r="I560" s="3">
        <f>TabelaFretes[[#This Row],[Valor]]/TabelaFretes[[#This Row],[Quilometragem]]</f>
        <v>2.8752800597460793</v>
      </c>
      <c r="J560" s="3">
        <f>TabelaFretes[[#This Row],[Valor]]/TabelaFretes[[#This Row],[Capacidade]]</f>
        <v>550</v>
      </c>
    </row>
    <row r="561" spans="1:10" x14ac:dyDescent="0.3">
      <c r="A561" s="2" t="s">
        <v>203</v>
      </c>
      <c r="B561" s="2" t="s">
        <v>243</v>
      </c>
      <c r="C561" s="2" t="s">
        <v>6</v>
      </c>
      <c r="D561" s="2" cm="1">
        <f t="array" ref="D56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61" s="2">
        <v>5</v>
      </c>
      <c r="F561" s="2">
        <v>2678</v>
      </c>
      <c r="G561" s="2" t="str" cm="1">
        <f t="array" ref="G56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1" s="2">
        <v>14000</v>
      </c>
      <c r="I561" s="3">
        <f>TabelaFretes[[#This Row],[Valor]]/TabelaFretes[[#This Row],[Quilometragem]]</f>
        <v>5.227781926811053</v>
      </c>
      <c r="J561" s="3">
        <f>TabelaFretes[[#This Row],[Valor]]/TabelaFretes[[#This Row],[Capacidade]]</f>
        <v>518.51851851851848</v>
      </c>
    </row>
    <row r="562" spans="1:10" x14ac:dyDescent="0.3">
      <c r="A562" s="2" t="s">
        <v>203</v>
      </c>
      <c r="B562" s="2" t="s">
        <v>243</v>
      </c>
      <c r="C562" s="2" t="s">
        <v>158</v>
      </c>
      <c r="D562" s="2" cm="1">
        <f t="array" ref="D56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62" s="2">
        <v>6</v>
      </c>
      <c r="F562" s="2">
        <v>2678</v>
      </c>
      <c r="G562" s="2" t="str" cm="1">
        <f t="array" ref="G56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2" s="2">
        <v>14000</v>
      </c>
      <c r="I562" s="3">
        <f>TabelaFretes[[#This Row],[Valor]]/TabelaFretes[[#This Row],[Quilometragem]]</f>
        <v>5.227781926811053</v>
      </c>
      <c r="J562" s="3">
        <f>TabelaFretes[[#This Row],[Valor]]/TabelaFretes[[#This Row],[Capacidade]]</f>
        <v>437.5</v>
      </c>
    </row>
    <row r="563" spans="1:10" x14ac:dyDescent="0.3">
      <c r="A563" s="2" t="s">
        <v>203</v>
      </c>
      <c r="B563" s="2" t="s">
        <v>244</v>
      </c>
      <c r="C563" s="2" t="s">
        <v>7</v>
      </c>
      <c r="D563" s="2" cm="1">
        <f t="array" ref="D56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63" s="2">
        <v>3</v>
      </c>
      <c r="F563" s="2">
        <v>2653</v>
      </c>
      <c r="G563" s="2" t="str" cm="1">
        <f t="array" ref="G56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3" s="2">
        <v>7700</v>
      </c>
      <c r="I563" s="3">
        <f>TabelaFretes[[#This Row],[Valor]]/TabelaFretes[[#This Row],[Quilometragem]]</f>
        <v>2.9023746701846966</v>
      </c>
      <c r="J563" s="3">
        <f>TabelaFretes[[#This Row],[Valor]]/TabelaFretes[[#This Row],[Capacidade]]</f>
        <v>550</v>
      </c>
    </row>
    <row r="564" spans="1:10" x14ac:dyDescent="0.3">
      <c r="A564" s="2" t="s">
        <v>203</v>
      </c>
      <c r="B564" s="2" t="s">
        <v>244</v>
      </c>
      <c r="C564" s="2" t="s">
        <v>9</v>
      </c>
      <c r="D564" s="2" cm="1">
        <f t="array" ref="D56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564" s="2">
        <v>4</v>
      </c>
      <c r="F564" s="2">
        <v>2653</v>
      </c>
      <c r="G564" s="2" t="str" cm="1">
        <f t="array" ref="G56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4" s="2">
        <v>10450</v>
      </c>
      <c r="I564" s="3">
        <f>TabelaFretes[[#This Row],[Valor]]/TabelaFretes[[#This Row],[Quilometragem]]</f>
        <v>3.9389370523935168</v>
      </c>
      <c r="J564" s="3">
        <f>TabelaFretes[[#This Row],[Valor]]/TabelaFretes[[#This Row],[Capacidade]]</f>
        <v>550</v>
      </c>
    </row>
    <row r="565" spans="1:10" x14ac:dyDescent="0.3">
      <c r="A565" s="2" t="s">
        <v>203</v>
      </c>
      <c r="B565" s="2" t="s">
        <v>244</v>
      </c>
      <c r="C565" s="2" t="s">
        <v>6</v>
      </c>
      <c r="D565" s="2" cm="1">
        <f t="array" ref="D56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65" s="2">
        <v>5</v>
      </c>
      <c r="F565" s="2">
        <v>2653</v>
      </c>
      <c r="G565" s="2" t="str" cm="1">
        <f t="array" ref="G56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5" s="2">
        <v>14000</v>
      </c>
      <c r="I565" s="3">
        <f>TabelaFretes[[#This Row],[Valor]]/TabelaFretes[[#This Row],[Quilometragem]]</f>
        <v>5.2770448548812663</v>
      </c>
      <c r="J565" s="3">
        <f>TabelaFretes[[#This Row],[Valor]]/TabelaFretes[[#This Row],[Capacidade]]</f>
        <v>518.51851851851848</v>
      </c>
    </row>
    <row r="566" spans="1:10" x14ac:dyDescent="0.3">
      <c r="A566" s="2" t="s">
        <v>203</v>
      </c>
      <c r="B566" s="2" t="s">
        <v>244</v>
      </c>
      <c r="C566" s="2" t="s">
        <v>158</v>
      </c>
      <c r="D566" s="2" cm="1">
        <f t="array" ref="D56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66" s="2">
        <v>6</v>
      </c>
      <c r="F566" s="2">
        <v>2653</v>
      </c>
      <c r="G566" s="2" t="str" cm="1">
        <f t="array" ref="G56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6" s="2">
        <v>14000</v>
      </c>
      <c r="I566" s="3">
        <f>TabelaFretes[[#This Row],[Valor]]/TabelaFretes[[#This Row],[Quilometragem]]</f>
        <v>5.2770448548812663</v>
      </c>
      <c r="J566" s="3">
        <f>TabelaFretes[[#This Row],[Valor]]/TabelaFretes[[#This Row],[Capacidade]]</f>
        <v>437.5</v>
      </c>
    </row>
    <row r="567" spans="1:10" x14ac:dyDescent="0.3">
      <c r="A567" s="2" t="s">
        <v>203</v>
      </c>
      <c r="B567" s="2" t="s">
        <v>245</v>
      </c>
      <c r="C567" s="2" t="s">
        <v>7</v>
      </c>
      <c r="D567" s="2" cm="1">
        <f t="array" ref="D56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67" s="2">
        <v>3</v>
      </c>
      <c r="F567" s="2">
        <v>2480</v>
      </c>
      <c r="G567" s="2" t="str" cm="1">
        <f t="array" ref="G56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7" s="2">
        <v>7700</v>
      </c>
      <c r="I567" s="3">
        <f>TabelaFretes[[#This Row],[Valor]]/TabelaFretes[[#This Row],[Quilometragem]]</f>
        <v>3.1048387096774195</v>
      </c>
      <c r="J567" s="3">
        <f>TabelaFretes[[#This Row],[Valor]]/TabelaFretes[[#This Row],[Capacidade]]</f>
        <v>550</v>
      </c>
    </row>
    <row r="568" spans="1:10" x14ac:dyDescent="0.3">
      <c r="A568" s="2" t="s">
        <v>203</v>
      </c>
      <c r="B568" s="2" t="s">
        <v>245</v>
      </c>
      <c r="C568" s="2" t="s">
        <v>6</v>
      </c>
      <c r="D568" s="2" cm="1">
        <f t="array" ref="D56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68" s="2">
        <v>5</v>
      </c>
      <c r="F568" s="2">
        <v>2480</v>
      </c>
      <c r="G568" s="2" t="str" cm="1">
        <f t="array" ref="G56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8" s="2">
        <v>14000</v>
      </c>
      <c r="I568" s="3">
        <f>TabelaFretes[[#This Row],[Valor]]/TabelaFretes[[#This Row],[Quilometragem]]</f>
        <v>5.645161290322581</v>
      </c>
      <c r="J568" s="3">
        <f>TabelaFretes[[#This Row],[Valor]]/TabelaFretes[[#This Row],[Capacidade]]</f>
        <v>518.51851851851848</v>
      </c>
    </row>
    <row r="569" spans="1:10" x14ac:dyDescent="0.3">
      <c r="A569" s="2" t="s">
        <v>203</v>
      </c>
      <c r="B569" s="2" t="s">
        <v>245</v>
      </c>
      <c r="C569" s="2" t="s">
        <v>158</v>
      </c>
      <c r="D569" s="2" cm="1">
        <f t="array" ref="D56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69" s="2">
        <v>6</v>
      </c>
      <c r="F569" s="2">
        <v>2480</v>
      </c>
      <c r="G569" s="2" t="str" cm="1">
        <f t="array" ref="G56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69" s="2">
        <v>14000</v>
      </c>
      <c r="I569" s="3">
        <f>TabelaFretes[[#This Row],[Valor]]/TabelaFretes[[#This Row],[Quilometragem]]</f>
        <v>5.645161290322581</v>
      </c>
      <c r="J569" s="3">
        <f>TabelaFretes[[#This Row],[Valor]]/TabelaFretes[[#This Row],[Capacidade]]</f>
        <v>437.5</v>
      </c>
    </row>
    <row r="570" spans="1:10" x14ac:dyDescent="0.3">
      <c r="A570" s="2" t="s">
        <v>203</v>
      </c>
      <c r="B570" s="2" t="s">
        <v>246</v>
      </c>
      <c r="C570" s="2" t="s">
        <v>7</v>
      </c>
      <c r="D570" s="2" cm="1">
        <f t="array" ref="D57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70" s="2">
        <v>3</v>
      </c>
      <c r="F570" s="2">
        <v>2549</v>
      </c>
      <c r="G570" s="2" t="str" cm="1">
        <f t="array" ref="G57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70" s="2">
        <v>7700</v>
      </c>
      <c r="I570" s="3">
        <f>TabelaFretes[[#This Row],[Valor]]/TabelaFretes[[#This Row],[Quilometragem]]</f>
        <v>3.0207924676343665</v>
      </c>
      <c r="J570" s="3">
        <f>TabelaFretes[[#This Row],[Valor]]/TabelaFretes[[#This Row],[Capacidade]]</f>
        <v>550</v>
      </c>
    </row>
    <row r="571" spans="1:10" x14ac:dyDescent="0.3">
      <c r="A571" s="2" t="s">
        <v>203</v>
      </c>
      <c r="B571" s="2" t="s">
        <v>246</v>
      </c>
      <c r="C571" s="2" t="s">
        <v>9</v>
      </c>
      <c r="D571" s="2" cm="1">
        <f t="array" ref="D57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19</v>
      </c>
      <c r="E571" s="2">
        <v>4</v>
      </c>
      <c r="F571" s="2">
        <v>2549</v>
      </c>
      <c r="G571" s="2" t="str" cm="1">
        <f t="array" ref="G57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71" s="2">
        <v>9900</v>
      </c>
      <c r="I571" s="3">
        <f>TabelaFretes[[#This Row],[Valor]]/TabelaFretes[[#This Row],[Quilometragem]]</f>
        <v>3.8838760298156139</v>
      </c>
      <c r="J571" s="3">
        <f>TabelaFretes[[#This Row],[Valor]]/TabelaFretes[[#This Row],[Capacidade]]</f>
        <v>521.0526315789474</v>
      </c>
    </row>
    <row r="572" spans="1:10" x14ac:dyDescent="0.3">
      <c r="A572" s="2" t="s">
        <v>203</v>
      </c>
      <c r="B572" s="2" t="s">
        <v>246</v>
      </c>
      <c r="C572" s="2" t="s">
        <v>6</v>
      </c>
      <c r="D572" s="2" cm="1">
        <f t="array" ref="D57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72" s="2">
        <v>5</v>
      </c>
      <c r="F572" s="2">
        <v>2549</v>
      </c>
      <c r="G572" s="2" t="str" cm="1">
        <f t="array" ref="G57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72" s="2">
        <v>14000</v>
      </c>
      <c r="I572" s="3">
        <f>TabelaFretes[[#This Row],[Valor]]/TabelaFretes[[#This Row],[Quilometragem]]</f>
        <v>5.4923499411533934</v>
      </c>
      <c r="J572" s="3">
        <f>TabelaFretes[[#This Row],[Valor]]/TabelaFretes[[#This Row],[Capacidade]]</f>
        <v>518.51851851851848</v>
      </c>
    </row>
    <row r="573" spans="1:10" x14ac:dyDescent="0.3">
      <c r="A573" s="2" t="s">
        <v>203</v>
      </c>
      <c r="B573" s="2" t="s">
        <v>246</v>
      </c>
      <c r="C573" s="2" t="s">
        <v>158</v>
      </c>
      <c r="D573" s="2" cm="1">
        <f t="array" ref="D573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73" s="2">
        <v>6</v>
      </c>
      <c r="F573" s="2">
        <v>2549</v>
      </c>
      <c r="G573" s="2" t="str" cm="1">
        <f t="array" ref="G573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73" s="2">
        <v>14000</v>
      </c>
      <c r="I573" s="3">
        <f>TabelaFretes[[#This Row],[Valor]]/TabelaFretes[[#This Row],[Quilometragem]]</f>
        <v>5.4923499411533934</v>
      </c>
      <c r="J573" s="3">
        <f>TabelaFretes[[#This Row],[Valor]]/TabelaFretes[[#This Row],[Capacidade]]</f>
        <v>437.5</v>
      </c>
    </row>
    <row r="574" spans="1:10" x14ac:dyDescent="0.3">
      <c r="A574" s="2" t="s">
        <v>203</v>
      </c>
      <c r="B574" s="2" t="s">
        <v>247</v>
      </c>
      <c r="C574" s="2" t="s">
        <v>7</v>
      </c>
      <c r="D574" s="2" cm="1">
        <f t="array" ref="D574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74" s="2">
        <v>3</v>
      </c>
      <c r="F574" s="2">
        <v>2633</v>
      </c>
      <c r="G574" s="2" t="str" cm="1">
        <f t="array" ref="G574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74" s="2">
        <v>7700</v>
      </c>
      <c r="I574" s="3">
        <f>TabelaFretes[[#This Row],[Valor]]/TabelaFretes[[#This Row],[Quilometragem]]</f>
        <v>2.9244208127611091</v>
      </c>
      <c r="J574" s="3">
        <f>TabelaFretes[[#This Row],[Valor]]/TabelaFretes[[#This Row],[Capacidade]]</f>
        <v>550</v>
      </c>
    </row>
    <row r="575" spans="1:10" x14ac:dyDescent="0.3">
      <c r="A575" s="2" t="s">
        <v>203</v>
      </c>
      <c r="B575" s="2" t="s">
        <v>247</v>
      </c>
      <c r="C575" s="2" t="s">
        <v>6</v>
      </c>
      <c r="D575" s="2" cm="1">
        <f t="array" ref="D575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75" s="2">
        <v>5</v>
      </c>
      <c r="F575" s="2">
        <v>2633</v>
      </c>
      <c r="G575" s="2" t="str" cm="1">
        <f t="array" ref="G575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75" s="2">
        <v>14000</v>
      </c>
      <c r="I575" s="3">
        <f>TabelaFretes[[#This Row],[Valor]]/TabelaFretes[[#This Row],[Quilometragem]]</f>
        <v>5.317128750474744</v>
      </c>
      <c r="J575" s="3">
        <f>TabelaFretes[[#This Row],[Valor]]/TabelaFretes[[#This Row],[Capacidade]]</f>
        <v>518.51851851851848</v>
      </c>
    </row>
    <row r="576" spans="1:10" x14ac:dyDescent="0.3">
      <c r="A576" s="2" t="s">
        <v>203</v>
      </c>
      <c r="B576" s="2" t="s">
        <v>247</v>
      </c>
      <c r="C576" s="2" t="s">
        <v>158</v>
      </c>
      <c r="D576" s="2" cm="1">
        <f t="array" ref="D576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76" s="2">
        <v>6</v>
      </c>
      <c r="F576" s="2">
        <v>2633</v>
      </c>
      <c r="G576" s="2" t="str" cm="1">
        <f t="array" ref="G576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76" s="2">
        <v>14000</v>
      </c>
      <c r="I576" s="3">
        <f>TabelaFretes[[#This Row],[Valor]]/TabelaFretes[[#This Row],[Quilometragem]]</f>
        <v>5.317128750474744</v>
      </c>
      <c r="J576" s="3">
        <f>TabelaFretes[[#This Row],[Valor]]/TabelaFretes[[#This Row],[Capacidade]]</f>
        <v>437.5</v>
      </c>
    </row>
    <row r="577" spans="1:10" x14ac:dyDescent="0.3">
      <c r="A577" s="2" t="s">
        <v>203</v>
      </c>
      <c r="B577" s="2" t="s">
        <v>248</v>
      </c>
      <c r="C577" s="2" t="s">
        <v>7</v>
      </c>
      <c r="D577" s="2" cm="1">
        <f t="array" ref="D577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77" s="2">
        <v>3</v>
      </c>
      <c r="F577" s="2">
        <v>2701</v>
      </c>
      <c r="G577" s="2" t="str" cm="1">
        <f t="array" ref="G577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77" s="2">
        <v>7700</v>
      </c>
      <c r="I577" s="3">
        <f>TabelaFretes[[#This Row],[Valor]]/TabelaFretes[[#This Row],[Quilometragem]]</f>
        <v>2.850796001480933</v>
      </c>
      <c r="J577" s="3">
        <f>TabelaFretes[[#This Row],[Valor]]/TabelaFretes[[#This Row],[Capacidade]]</f>
        <v>550</v>
      </c>
    </row>
    <row r="578" spans="1:10" x14ac:dyDescent="0.3">
      <c r="A578" s="2" t="s">
        <v>203</v>
      </c>
      <c r="B578" s="2" t="s">
        <v>248</v>
      </c>
      <c r="C578" s="2" t="s">
        <v>6</v>
      </c>
      <c r="D578" s="2" cm="1">
        <f t="array" ref="D578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78" s="2">
        <v>5</v>
      </c>
      <c r="F578" s="2">
        <v>2701</v>
      </c>
      <c r="G578" s="2" t="str" cm="1">
        <f t="array" ref="G578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78" s="2">
        <v>14000</v>
      </c>
      <c r="I578" s="3">
        <f>TabelaFretes[[#This Row],[Valor]]/TabelaFretes[[#This Row],[Quilometragem]]</f>
        <v>5.1832654572380603</v>
      </c>
      <c r="J578" s="3">
        <f>TabelaFretes[[#This Row],[Valor]]/TabelaFretes[[#This Row],[Capacidade]]</f>
        <v>518.51851851851848</v>
      </c>
    </row>
    <row r="579" spans="1:10" x14ac:dyDescent="0.3">
      <c r="A579" s="2" t="s">
        <v>203</v>
      </c>
      <c r="B579" s="2" t="s">
        <v>248</v>
      </c>
      <c r="C579" s="2" t="s">
        <v>158</v>
      </c>
      <c r="D579" s="2" cm="1">
        <f t="array" ref="D579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79" s="2">
        <v>6</v>
      </c>
      <c r="F579" s="2">
        <v>2701</v>
      </c>
      <c r="G579" s="2" t="str" cm="1">
        <f t="array" ref="G579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Extra Longa</v>
      </c>
      <c r="H579" s="2">
        <v>14000</v>
      </c>
      <c r="I579" s="3">
        <f>TabelaFretes[[#This Row],[Valor]]/TabelaFretes[[#This Row],[Quilometragem]]</f>
        <v>5.1832654572380603</v>
      </c>
      <c r="J579" s="3">
        <f>TabelaFretes[[#This Row],[Valor]]/TabelaFretes[[#This Row],[Capacidade]]</f>
        <v>437.5</v>
      </c>
    </row>
    <row r="580" spans="1:10" x14ac:dyDescent="0.3">
      <c r="A580" s="2" t="s">
        <v>203</v>
      </c>
      <c r="B580" s="2" t="s">
        <v>249</v>
      </c>
      <c r="C580" s="2" t="s">
        <v>7</v>
      </c>
      <c r="D580" s="2" cm="1">
        <f t="array" ref="D580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14</v>
      </c>
      <c r="E580" s="2">
        <v>3</v>
      </c>
      <c r="F580" s="2">
        <v>2620</v>
      </c>
      <c r="G580" s="2" t="str" cm="1">
        <f t="array" ref="G580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80" s="2">
        <v>7700</v>
      </c>
      <c r="I580" s="3">
        <f>TabelaFretes[[#This Row],[Valor]]/TabelaFretes[[#This Row],[Quilometragem]]</f>
        <v>2.9389312977099236</v>
      </c>
      <c r="J580" s="3">
        <f>TabelaFretes[[#This Row],[Valor]]/TabelaFretes[[#This Row],[Capacidade]]</f>
        <v>550</v>
      </c>
    </row>
    <row r="581" spans="1:10" x14ac:dyDescent="0.3">
      <c r="A581" s="2" t="s">
        <v>203</v>
      </c>
      <c r="B581" s="2" t="s">
        <v>249</v>
      </c>
      <c r="C581" s="2" t="s">
        <v>6</v>
      </c>
      <c r="D581" s="2" cm="1">
        <f t="array" ref="D581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27</v>
      </c>
      <c r="E581" s="2">
        <v>5</v>
      </c>
      <c r="F581" s="2">
        <v>2620</v>
      </c>
      <c r="G581" s="2" t="str" cm="1">
        <f t="array" ref="G581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81" s="2">
        <v>14000</v>
      </c>
      <c r="I581" s="3">
        <f>TabelaFretes[[#This Row],[Valor]]/TabelaFretes[[#This Row],[Quilometragem]]</f>
        <v>5.343511450381679</v>
      </c>
      <c r="J581" s="3">
        <f>TabelaFretes[[#This Row],[Valor]]/TabelaFretes[[#This Row],[Capacidade]]</f>
        <v>518.51851851851848</v>
      </c>
    </row>
    <row r="582" spans="1:10" x14ac:dyDescent="0.3">
      <c r="A582" s="2" t="s">
        <v>203</v>
      </c>
      <c r="B582" s="2" t="s">
        <v>249</v>
      </c>
      <c r="C582" s="2" t="s">
        <v>158</v>
      </c>
      <c r="D582" s="2" cm="1">
        <f t="array" ref="D582">_xlfn.IFS(TabelaFretes[[#This Row],[Veiculo]]="TU",14,TabelaFretes[[#This Row],[Veiculo]]="BI",19,TabelaFretes[[#This Row],[Veiculo]]="CA",27,TabelaFretes[[#This Row],[Veiculo]]="CT",32,TabelaFretes[[#This Row],[Veiculo]]="BT",37,TabelaFretes[[#This Row],[Veiculo]]="RO",50)</f>
        <v>32</v>
      </c>
      <c r="E582" s="2">
        <v>6</v>
      </c>
      <c r="F582" s="2">
        <v>2620</v>
      </c>
      <c r="G582" s="2" t="str" cm="1">
        <f t="array" ref="G582">_xlfn.IFS(TabelaFretes[[#This Row],[Quilometragem]]&lt;=300,"Curta",TabelaFretes[[#This Row],[Quilometragem]]&lt;=1000,"Média",TabelaFretes[[#This Row],[Quilometragem]]&lt;=2000,"Longa",TabelaFretes[[#This Row],[Quilometragem]]&lt;=2700,"Muito Longa",TabelaFretes[[#This Row],[Quilometragem]]&gt;2700,"Extra Longa")</f>
        <v>Muito Longa</v>
      </c>
      <c r="H582" s="2">
        <v>14000</v>
      </c>
      <c r="I582" s="3">
        <f>TabelaFretes[[#This Row],[Valor]]/TabelaFretes[[#This Row],[Quilometragem]]</f>
        <v>5.343511450381679</v>
      </c>
      <c r="J582" s="3">
        <f>TabelaFretes[[#This Row],[Valor]]/TabelaFretes[[#This Row],[Capacidade]]</f>
        <v>437.5</v>
      </c>
    </row>
  </sheetData>
  <conditionalFormatting sqref="J1:J1048576">
    <cfRule type="iconSet" priority="1">
      <iconSet reverse="1">
        <cfvo type="percent" val="0"/>
        <cfvo type="percent" val="33"/>
        <cfvo type="percent" val="67"/>
      </iconSet>
    </cfRule>
  </conditionalFormatting>
  <pageMargins left="0.51181102362204722" right="0.51181102362204722" top="0.78740157480314965" bottom="0.78740157480314965" header="0.31496062992125984" footer="0.31496062992125984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43DD01-367C-474E-95C1-27C4037055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Fretes</vt:lpstr>
      <vt:lpstr>Fretes!Titulos_de_impressao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Lucena</dc:creator>
  <cp:lastModifiedBy>João Lucena</cp:lastModifiedBy>
  <cp:lastPrinted>2026-07-29T16:11:24Z</cp:lastPrinted>
  <dcterms:created xsi:type="dcterms:W3CDTF">2026-07-29T15:00:08Z</dcterms:created>
  <dcterms:modified xsi:type="dcterms:W3CDTF">2026-07-31T10:09:34Z</dcterms:modified>
</cp:coreProperties>
</file>